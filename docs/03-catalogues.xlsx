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Public data" sheetId="2" state="visible" r:id="rId2"/>
    <sheet name="Open source" sheetId="3" state="visible" r:id="rId3"/>
    <sheet name="Capability mirror" sheetId="4" state="visible" r:id="rId4"/>
    <sheet name="Commercial landscape" sheetId="5" state="visible" r:id="rId5"/>
    <sheet name="Jurisdictions" sheetId="6" state="visible" r:id="rId6"/>
    <sheet name="Cost mode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"/>
    <numFmt numFmtId="165" formatCode="#,##0.000"/>
    <numFmt numFmtId="166" formatCode="0.0%"/>
    <numFmt numFmtId="167" formatCode="#,##0.0"/>
    <numFmt numFmtId="168" formatCode="&quot;€&quot;#,##0"/>
    <numFmt numFmtId="169" formatCode="&quot;€&quot;#,##0.00"/>
  </numFmts>
  <fonts count="10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sz val="10"/>
    </font>
    <font>
      <name val="Arial"/>
      <b val="1"/>
      <sz val="10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3" fontId="7" fillId="3" borderId="1" pivotButton="0" quotePrefix="0" xfId="0"/>
    <xf numFmtId="164" fontId="7" fillId="3" borderId="1" pivotButton="0" quotePrefix="0" xfId="0"/>
    <xf numFmtId="3" fontId="8" fillId="0" borderId="1" pivotButton="0" quotePrefix="0" xfId="0"/>
    <xf numFmtId="4" fontId="8" fillId="0" borderId="1" pivotButton="0" quotePrefix="0" xfId="0"/>
    <xf numFmtId="165" fontId="8" fillId="0" borderId="1" pivotButton="0" quotePrefix="0" xfId="0"/>
    <xf numFmtId="166" fontId="8" fillId="0" borderId="1" pivotButton="0" quotePrefix="0" xfId="0"/>
    <xf numFmtId="167" fontId="8" fillId="0" borderId="1" pivotButton="0" quotePrefix="0" xfId="0"/>
    <xf numFmtId="168" fontId="8" fillId="0" borderId="1" pivotButton="0" quotePrefix="0" xfId="0"/>
    <xf numFmtId="168" fontId="7" fillId="3" borderId="1" pivotButton="0" quotePrefix="0" xfId="0"/>
    <xf numFmtId="169" fontId="7" fillId="3" borderId="1" pivotButton="0" quotePrefix="0" xfId="0"/>
    <xf numFmtId="168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PublicData" displayName="PublicData" ref="A4:K44" headerRowCount="1">
  <autoFilter ref="A4:K44"/>
  <tableColumns count="11">
    <tableColumn id="1" name="Source"/>
    <tableColumn id="2" name="Category"/>
    <tableColumn id="3" name="Publisher"/>
    <tableColumn id="4" name="Coverage"/>
    <tableColumn id="5" name="Resolution / detail"/>
    <tableColumn id="6" name="Cadence / latency"/>
    <tableColumn id="7" name="Licence"/>
    <tableColumn id="8" name="Access"/>
    <tableColumn id="9" name="Endpoint or DOI"/>
    <tableColumn id="10" name="Question it answers"/>
    <tableColumn id="11" name="Notes"/>
  </tableColumns>
  <tableStyleInfo name="TableStyleLight9" showRowStripes="1"/>
</table>
</file>

<file path=xl/tables/table2.xml><?xml version="1.0" encoding="utf-8"?>
<table xmlns="http://schemas.openxmlformats.org/spreadsheetml/2006/main" id="2" name="OpenSource" displayName="OpenSource" ref="A4:G61" headerRowCount="1">
  <autoFilter ref="A4:G61"/>
  <tableColumns count="7">
    <tableColumn id="1" name="Component"/>
    <tableColumn id="2" name="Layer"/>
    <tableColumn id="3" name="Function"/>
    <tableColumn id="4" name="Licence"/>
    <tableColumn id="5" name="Governance"/>
    <tableColumn id="6" name="Maturity"/>
    <tableColumn id="7" name="Risk note"/>
  </tableColumns>
  <tableStyleInfo name="TableStyleLight9" showRowStripes="1"/>
</table>
</file>

<file path=xl/tables/table3.xml><?xml version="1.0" encoding="utf-8"?>
<table xmlns="http://schemas.openxmlformats.org/spreadsheetml/2006/main" id="3" name="CapabilityMirror" displayName="CapabilityMirror" ref="A4:G16" headerRowCount="1">
  <autoFilter ref="A4:G16"/>
  <tableColumns count="7">
    <tableColumn id="1" name="#"/>
    <tableColumn id="2" name="Operator capability"/>
    <tableColumn id="3" name="Vendor examples"/>
    <tableColumn id="4" name="Public mirror"/>
    <tableColumn id="5" name="Public data behind it"/>
    <tableColumn id="6" name="Fidelity"/>
    <tableColumn id="7" name="Assessment"/>
  </tableColumns>
  <tableStyleInfo name="TableStyleLight9" showRowStripes="1"/>
</table>
</file>

<file path=xl/tables/table4.xml><?xml version="1.0" encoding="utf-8"?>
<table xmlns="http://schemas.openxmlformats.org/spreadsheetml/2006/main" id="4" name="Commercial" displayName="Commercial" ref="A4:E34" headerRowCount="1">
  <autoFilter ref="A4:E34"/>
  <tableColumns count="5">
    <tableColumn id="1" name="Product"/>
    <tableColumn id="2" name="Vendor"/>
    <tableColumn id="3" name="Functional layer"/>
    <tableColumn id="4" name="Self-described function"/>
    <tableColumn id="5" name="Mirrorable from public data?"/>
  </tableColumns>
  <tableStyleInfo name="TableStyleLight9" showRowStripes="1"/>
</table>
</file>

<file path=xl/tables/table5.xml><?xml version="1.0" encoding="utf-8"?>
<table xmlns="http://schemas.openxmlformats.org/spreadsheetml/2006/main" id="5" name="Jurisdictions" displayName="Jurisdictions" ref="A4:G15" headerRowCount="1">
  <autoFilter ref="A4:G15"/>
  <tableColumns count="7">
    <tableColumn id="1" name="Jurisdiction"/>
    <tableColumn id="2" name="Title / cadastre registry"/>
    <tableColumn id="3" name="Production or royalty disclosure"/>
    <tableColumn id="4" name="Protected-area / environmental register"/>
    <tableColumn id="5" name="Dam-safety regime"/>
    <tableColumn id="6" name="Due-process legal basis"/>
    <tableColumn id="7" name="Note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6" customWidth="1" min="2" max="2"/>
  </cols>
  <sheetData>
    <row r="1">
      <c r="A1" s="1" t="inlineStr">
        <is>
          <t>Observatório SOMA — reference catalogues</t>
        </is>
      </c>
    </row>
    <row r="3">
      <c r="A3" s="2" t="inlineStr"/>
      <c r="B3" s="3" t="inlineStr"/>
    </row>
    <row r="4">
      <c r="A4" s="4" t="inlineStr">
        <is>
          <t>Prepared for</t>
        </is>
      </c>
      <c r="B4" s="3" t="inlineStr">
        <is>
          <t>Bernardo Munayer</t>
        </is>
      </c>
    </row>
    <row r="5">
      <c r="A5" s="4" t="inlineStr">
        <is>
          <t>Date</t>
        </is>
      </c>
      <c r="B5" s="3" t="inlineStr">
        <is>
          <t>19 August 2026</t>
        </is>
      </c>
    </row>
    <row r="6">
      <c r="A6" s="4" t="inlineStr">
        <is>
          <t>Companion to</t>
        </is>
      </c>
      <c r="B6" s="3" t="inlineStr">
        <is>
          <t>00-SOMA.md · report.html · dashboard.html</t>
        </is>
      </c>
    </row>
    <row r="7">
      <c r="A7" s="2" t="inlineStr"/>
      <c r="B7" s="3" t="inlineStr"/>
    </row>
    <row r="8">
      <c r="A8" s="4" t="inlineStr">
        <is>
          <t>What this workbook is</t>
        </is>
      </c>
      <c r="B8" s="3" t="inlineStr">
        <is>
          <t>Every public data source and every open-source component behind the proposed public-sector mining oversight platform, with licence, access method, cadence and maturity, so that a procurement or technical review can check the claims without reading the report.</t>
        </is>
      </c>
    </row>
    <row r="9">
      <c r="A9" s="2" t="inlineStr"/>
      <c r="B9" s="3" t="inlineStr"/>
    </row>
    <row r="10">
      <c r="A10" s="4" t="inlineStr">
        <is>
          <t>Sheets</t>
        </is>
      </c>
      <c r="B10" s="3" t="inlineStr"/>
    </row>
    <row r="11">
      <c r="A11" s="2" t="inlineStr">
        <is>
          <t xml:space="preserve">  Public data</t>
        </is>
      </c>
      <c r="B11" s="3" t="inlineStr">
        <is>
          <t>Free, reusable data an authority can obtain today. Columns include the question each source actually answers.</t>
        </is>
      </c>
    </row>
    <row r="12">
      <c r="A12" s="2" t="inlineStr">
        <is>
          <t xml:space="preserve">  Open source</t>
        </is>
      </c>
      <c r="B12" s="3" t="inlineStr">
        <is>
          <t>Components to build with, with licence and a risk note where one applies.</t>
        </is>
      </c>
    </row>
    <row r="13">
      <c r="A13" s="2" t="inlineStr">
        <is>
          <t xml:space="preserve">  Capability mirror</t>
        </is>
      </c>
      <c r="B13" s="3" t="inlineStr">
        <is>
          <t>Layer-by-layer comparison of what the operator sees against what a public body can see, including the layers that CANNOT be mirrored.</t>
        </is>
      </c>
    </row>
    <row r="14">
      <c r="A14" s="2" t="inlineStr">
        <is>
          <t xml:space="preserve">  Commercial landscape</t>
        </is>
      </c>
      <c r="B14" s="3" t="inlineStr">
        <is>
          <t>The vendor products listed on the SourceForge page, sorted by function, plus the consolidation record.</t>
        </is>
      </c>
    </row>
    <row r="15">
      <c r="A15" s="2" t="inlineStr">
        <is>
          <t xml:space="preserve">  Jurisdictions</t>
        </is>
      </c>
      <c r="B15" s="3" t="inlineStr">
        <is>
          <t>Cadastre, production/royalty disclosure, protected-area, dam-safety and due-process basis for twelve jurisdictions, so a deployment outside Brazil or the EU knows what to wire up.</t>
        </is>
      </c>
    </row>
    <row r="16">
      <c r="A16" s="2" t="inlineStr">
        <is>
          <t xml:space="preserve">  Cost model</t>
        </is>
      </c>
      <c r="B16" s="3" t="inlineStr">
        <is>
          <t>A live model of data volume against the Copernicus free-tier quota. Edit the yellow cells.</t>
        </is>
      </c>
    </row>
    <row r="17">
      <c r="A17" s="2" t="inlineStr"/>
      <c r="B17" s="3" t="inlineStr"/>
    </row>
    <row r="18">
      <c r="A18" s="4" t="inlineStr">
        <is>
          <t>Verification status</t>
        </is>
      </c>
      <c r="B18" s="3" t="inlineStr">
        <is>
          <t>Licences and endpoints were checked on 19 August 2026 against primary sources. Re-verify before any procurement decision: licences change, and at least one component on the watch list changed during 2025-26.</t>
        </is>
      </c>
    </row>
    <row r="19">
      <c r="A19" s="2" t="inlineStr"/>
      <c r="B19" s="3" t="inlineStr"/>
    </row>
    <row r="20">
      <c r="A20" s="4" t="inlineStr">
        <is>
          <t>Colour convention</t>
        </is>
      </c>
      <c r="B20" s="3" t="inlineStr">
        <is>
          <t>Yellow fill with blue text = a cell you may edit. Black text = calculated. This follows the standard financial-model convention.</t>
        </is>
      </c>
    </row>
    <row r="21">
      <c r="A21" s="2" t="inlineStr"/>
      <c r="B21" s="3" t="inlineStr"/>
    </row>
    <row r="22">
      <c r="A22" s="4" t="inlineStr">
        <is>
          <t>Important</t>
        </is>
      </c>
      <c r="B22" s="3" t="inlineStr">
        <is>
          <t>Nothing in this workbook is a statement about any specific company or site. The prototype it accompanies runs on simulated imagery.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2" customWidth="1" min="3" max="3"/>
    <col width="22" customWidth="1" min="4" max="4"/>
    <col width="34" customWidth="1" min="5" max="5"/>
    <col width="24" customWidth="1" min="6" max="6"/>
    <col width="24" customWidth="1" min="7" max="7"/>
    <col width="24" customWidth="1" min="8" max="8"/>
    <col width="34" customWidth="1" min="9" max="9"/>
    <col width="40" customWidth="1" min="10" max="10"/>
    <col width="46" customWidth="1" min="11" max="11"/>
  </cols>
  <sheetData>
    <row r="1">
      <c r="A1" s="5" t="inlineStr">
        <is>
          <t>Public data sources</t>
        </is>
      </c>
    </row>
    <row r="2">
      <c r="A2" s="6" t="inlineStr">
        <is>
          <t>Free and reusable. Verified 19 Aug 2026 — re-verify before procurement.</t>
        </is>
      </c>
    </row>
    <row r="4">
      <c r="A4" s="7" t="inlineStr">
        <is>
          <t>Source</t>
        </is>
      </c>
      <c r="B4" s="7" t="inlineStr">
        <is>
          <t>Category</t>
        </is>
      </c>
      <c r="C4" s="7" t="inlineStr">
        <is>
          <t>Publisher</t>
        </is>
      </c>
      <c r="D4" s="7" t="inlineStr">
        <is>
          <t>Coverage</t>
        </is>
      </c>
      <c r="E4" s="7" t="inlineStr">
        <is>
          <t>Resolution / detail</t>
        </is>
      </c>
      <c r="F4" s="7" t="inlineStr">
        <is>
          <t>Cadence / latency</t>
        </is>
      </c>
      <c r="G4" s="7" t="inlineStr">
        <is>
          <t>Licence</t>
        </is>
      </c>
      <c r="H4" s="7" t="inlineStr">
        <is>
          <t>Access</t>
        </is>
      </c>
      <c r="I4" s="7" t="inlineStr">
        <is>
          <t>Endpoint or DOI</t>
        </is>
      </c>
      <c r="J4" s="7" t="inlineStr">
        <is>
          <t>Question it answers</t>
        </is>
      </c>
      <c r="K4" s="7" t="inlineStr">
        <is>
          <t>Notes</t>
        </is>
      </c>
    </row>
    <row r="5" ht="58" customHeight="1">
      <c r="A5" s="8" t="inlineStr">
        <is>
          <t>Sentinel-2 L2A</t>
        </is>
      </c>
      <c r="B5" s="8" t="inlineStr">
        <is>
          <t>Earth observation — optical</t>
        </is>
      </c>
      <c r="C5" s="8" t="inlineStr">
        <is>
          <t>Copernicus / ESA</t>
        </is>
      </c>
      <c r="D5" s="8" t="inlineStr">
        <is>
          <t>Global</t>
        </is>
      </c>
      <c r="E5" s="8" t="inlineStr">
        <is>
          <t>13 bands: 4 at 10 m, 6 at 20 m, 3 at 60 m; 290 km swath</t>
        </is>
      </c>
      <c r="F5" s="8" t="inlineStr">
        <is>
          <t>5 days (2 sats), 2–3 days mid-latitude; archive from 2015</t>
        </is>
      </c>
      <c r="G5" s="8" t="inlineStr">
        <is>
          <t>Copernicus free, full and open</t>
        </is>
      </c>
      <c r="H5" s="8" t="inlineStr">
        <is>
          <t>STAC, OData, S3, Sentinel Hub, openEO</t>
        </is>
      </c>
      <c r="I5" s="8" t="inlineStr">
        <is>
          <t>catalogue.dataspace.copernicus.eu/stac</t>
        </is>
      </c>
      <c r="J5" s="8" t="inlineStr">
        <is>
          <t>How large is the disturbed surface, and where exactly is its edge?</t>
        </is>
      </c>
      <c r="K5" s="8" t="inlineStr">
        <is>
          <t>L2A offset of −1000 applies from processing baseline 04.00. Getting this wrong shifts every index.</t>
        </is>
      </c>
    </row>
    <row r="6" ht="58" customHeight="1">
      <c r="A6" s="8" t="inlineStr">
        <is>
          <t>Sentinel-1 GRD/SLC</t>
        </is>
      </c>
      <c r="B6" s="8" t="inlineStr">
        <is>
          <t>Earth observation — radar</t>
        </is>
      </c>
      <c r="C6" s="8" t="inlineStr">
        <is>
          <t>Copernicus / ESA</t>
        </is>
      </c>
      <c r="D6" s="8" t="inlineStr">
        <is>
          <t>Global</t>
        </is>
      </c>
      <c r="E6" s="8" t="inlineStr">
        <is>
          <t>C-band SAR, 5×20 m IW</t>
        </is>
      </c>
      <c r="F6" s="8" t="inlineStr">
        <is>
          <t>6–12 days; constellation 1A+1C+1D since Apr 2026</t>
        </is>
      </c>
      <c r="G6" s="8" t="inlineStr">
        <is>
          <t>Copernicus free, full and open</t>
        </is>
      </c>
      <c r="H6" s="8" t="inlineStr">
        <is>
          <t>STAC, OData, S3</t>
        </is>
      </c>
      <c r="I6" s="8" t="inlineStr">
        <is>
          <t>catalogue.dataspace.copernicus.eu/stac</t>
        </is>
      </c>
      <c r="J6" s="8" t="inlineStr">
        <is>
          <t>Is anything happening under cloud, or at night?</t>
        </is>
      </c>
      <c r="K6" s="8" t="inlineStr">
        <is>
          <t>The only reason tropical monitoring works at all. Sentinel-1B failed 2022; 1D data opened 17 Apr 2026.</t>
        </is>
      </c>
    </row>
    <row r="7" ht="58" customHeight="1">
      <c r="A7" s="8" t="inlineStr">
        <is>
          <t>Sentinel-5P</t>
        </is>
      </c>
      <c r="B7" s="8" t="inlineStr">
        <is>
          <t>Earth observation — atmosphere</t>
        </is>
      </c>
      <c r="C7" s="8" t="inlineStr">
        <is>
          <t>Copernicus / ESA</t>
        </is>
      </c>
      <c r="D7" s="8" t="inlineStr">
        <is>
          <t>Global</t>
        </is>
      </c>
      <c r="E7" s="8" t="inlineStr">
        <is>
          <t>~3.5×5.5 km; SO2, NO2, CO, CH4</t>
        </is>
      </c>
      <c r="F7" s="8" t="inlineStr">
        <is>
          <t>Daily</t>
        </is>
      </c>
      <c r="G7" s="8" t="inlineStr">
        <is>
          <t>Copernicus free, full and open</t>
        </is>
      </c>
      <c r="H7" s="8" t="inlineStr">
        <is>
          <t>STAC, OData</t>
        </is>
      </c>
      <c r="I7" s="8" t="inlineStr">
        <is>
          <t>catalogue.dataspace.copernicus.eu/stac</t>
        </is>
      </c>
      <c r="J7" s="8" t="inlineStr">
        <is>
          <t>Is a smelter or processing plant emitting?</t>
        </is>
      </c>
      <c r="K7" s="8" t="inlineStr">
        <is>
          <t>Far too coarse for a single pit. Useful at plant scale only.</t>
        </is>
      </c>
    </row>
    <row r="8" ht="58" customHeight="1">
      <c r="A8" s="8" t="inlineStr">
        <is>
          <t>Copernicus DEM GLO-30</t>
        </is>
      </c>
      <c r="B8" s="8" t="inlineStr">
        <is>
          <t>Elevation</t>
        </is>
      </c>
      <c r="C8" s="8" t="inlineStr">
        <is>
          <t>Copernicus / ESA</t>
        </is>
      </c>
      <c r="D8" s="8" t="inlineStr">
        <is>
          <t>Global (~149 M km²)</t>
        </is>
      </c>
      <c r="E8" s="8" t="inlineStr">
        <is>
          <t>30 m; absolute vertical &lt;4 m (90% LE); relative &lt;2 m on slopes ≤20%</t>
        </is>
      </c>
      <c r="F8" s="8" t="inlineStr">
        <is>
          <t>Static, versioned</t>
        </is>
      </c>
      <c r="G8" s="8" t="inlineStr">
        <is>
          <t>Free worldwide (ESA user licence)</t>
        </is>
      </c>
      <c r="H8" s="8" t="inlineStr">
        <is>
          <t>S3, OData, Copernicus Browser</t>
        </is>
      </c>
      <c r="I8" s="8" t="inlineStr">
        <is>
          <t>doi.org/10.5270/ESA-c5d3d65</t>
        </is>
      </c>
      <c r="J8" s="8" t="inlineStr">
        <is>
          <t>How much material has been moved?</t>
        </is>
      </c>
      <c r="K8" s="8" t="inlineStr">
        <is>
          <t>Makes volumetric estimation a public capability. EEA-10 (10 m) is restricted to defined user categories.</t>
        </is>
      </c>
    </row>
    <row r="9" ht="58" customHeight="1">
      <c r="A9" s="8" t="inlineStr">
        <is>
          <t>NASADEM / SRTM</t>
        </is>
      </c>
      <c r="B9" s="8" t="inlineStr">
        <is>
          <t>Elevation</t>
        </is>
      </c>
      <c r="C9" s="8" t="inlineStr">
        <is>
          <t>NASA / USGS</t>
        </is>
      </c>
      <c r="D9" s="8" t="inlineStr">
        <is>
          <t>Global to 60°N/56°S</t>
        </is>
      </c>
      <c r="E9" s="8" t="inlineStr">
        <is>
          <t>30 m</t>
        </is>
      </c>
      <c r="F9" s="8" t="inlineStr">
        <is>
          <t>Static (2000 epoch)</t>
        </is>
      </c>
      <c r="G9" s="8" t="inlineStr">
        <is>
          <t>Public domain</t>
        </is>
      </c>
      <c r="H9" s="8" t="inlineStr">
        <is>
          <t>HTTP, AWS Open Data</t>
        </is>
      </c>
      <c r="I9" s="8" t="inlineStr">
        <is>
          <t>lpdaac.usgs.gov</t>
        </is>
      </c>
      <c r="J9" s="8" t="inlineStr">
        <is>
          <t>What did the ground look like before the boom?</t>
        </is>
      </c>
      <c r="K9" s="8" t="inlineStr">
        <is>
          <t>The only global pre-2010 elevation baseline.</t>
        </is>
      </c>
    </row>
    <row r="10" ht="58" customHeight="1">
      <c r="A10" s="8" t="inlineStr">
        <is>
          <t>Landsat 8/9 Collection 2</t>
        </is>
      </c>
      <c r="B10" s="8" t="inlineStr">
        <is>
          <t>Earth observation — optical</t>
        </is>
      </c>
      <c r="C10" s="8" t="inlineStr">
        <is>
          <t>USGS / NASA</t>
        </is>
      </c>
      <c r="D10" s="8" t="inlineStr">
        <is>
          <t>Global</t>
        </is>
      </c>
      <c r="E10" s="8" t="inlineStr">
        <is>
          <t>30 m multispectral; 15 m pan</t>
        </is>
      </c>
      <c r="F10" s="8" t="inlineStr">
        <is>
          <t>8 days combined; archive from 1984</t>
        </is>
      </c>
      <c r="G10" s="8" t="inlineStr">
        <is>
          <t>Public domain</t>
        </is>
      </c>
      <c r="H10" s="8" t="inlineStr">
        <is>
          <t>STAC, AWS Open Data</t>
        </is>
      </c>
      <c r="I10" s="8" t="inlineStr">
        <is>
          <t>landsatlook.usgs.gov</t>
        </is>
      </c>
      <c r="J10" s="8" t="inlineStr">
        <is>
          <t>What was here before Sentinel-2 existed?</t>
        </is>
      </c>
      <c r="K10" s="8" t="inlineStr">
        <is>
          <t>Indispensable for establishing the pre-observation baseline.</t>
        </is>
      </c>
    </row>
    <row r="11" ht="58" customHeight="1">
      <c r="A11" s="8" t="inlineStr">
        <is>
          <t>European Ground Motion Service</t>
        </is>
      </c>
      <c r="B11" s="8" t="inlineStr">
        <is>
          <t>Ground deformation</t>
        </is>
      </c>
      <c r="C11" s="8" t="inlineStr">
        <is>
          <t>Copernicus Land / EEA</t>
        </is>
      </c>
      <c r="D11" s="8" t="inlineStr">
        <is>
          <t>Copernicus participating states</t>
        </is>
      </c>
      <c r="E11" s="8" t="inlineStr">
        <is>
          <t>Millimetre LOS displacement; PS points</t>
        </is>
      </c>
      <c r="F11" s="8" t="inlineStr">
        <is>
          <t>Annual update; only the two latest releases stay online</t>
        </is>
      </c>
      <c r="G11" s="8" t="inlineStr">
        <is>
          <t>Copernicus free and open</t>
        </is>
      </c>
      <c r="H11" s="8" t="inlineStr">
        <is>
          <t>EGMS Explorer download</t>
        </is>
      </c>
      <c r="I11" s="8" t="inlineStr">
        <is>
          <t>egms.land.copernicus.eu</t>
        </is>
      </c>
      <c r="J11" s="8" t="inlineStr">
        <is>
          <t>Is a tailings dam crest moving, and is it accelerating?</t>
        </is>
      </c>
      <c r="K11" s="8" t="inlineStr">
        <is>
          <t>Exists explicitly for authorities monitoring dams and for mining subsidence. For Europe this removes the hardest processing layer entirely.</t>
        </is>
      </c>
    </row>
    <row r="12" ht="58" customHeight="1">
      <c r="A12" s="8" t="inlineStr">
        <is>
          <t>RADD forest disturbance alerts</t>
        </is>
      </c>
      <c r="B12" s="8" t="inlineStr">
        <is>
          <t>Deforestation</t>
        </is>
      </c>
      <c r="C12" s="8" t="inlineStr">
        <is>
          <t>Wageningen University / GFW</t>
        </is>
      </c>
      <c r="D12" s="8" t="inlineStr">
        <is>
          <t>13 South American, 6 Central American, 25 African, 5 SE Asian, 1 Pacific country</t>
        </is>
      </c>
      <c r="E12" s="8" t="inlineStr">
        <is>
          <t>10 m, Sentinel-1 based</t>
        </is>
      </c>
      <c r="F12" s="8" t="inlineStr">
        <is>
          <t>Near-real-time</t>
        </is>
      </c>
      <c r="G12" s="8" t="inlineStr">
        <is>
          <t>CC BY 4.0</t>
        </is>
      </c>
      <c r="H12" s="8" t="inlineStr">
        <is>
          <t>GEE, GFW download</t>
        </is>
      </c>
      <c r="I12" s="8" t="inlineStr">
        <is>
          <t>gee-community-catalog.org/projects/radd/</t>
        </is>
      </c>
      <c r="J12" s="8" t="inlineStr">
        <is>
          <t>Has forest been cleared here since the last look?</t>
        </is>
      </c>
      <c r="K12" s="8" t="inlineStr">
        <is>
          <t>Cite Reiche et al. 2021, Environ. Res. Lett., doi:10.1088/1748-9326/abd0a8.</t>
        </is>
      </c>
    </row>
    <row r="13" ht="58" customHeight="1">
      <c r="A13" s="8" t="inlineStr">
        <is>
          <t>DETER</t>
        </is>
      </c>
      <c r="B13" s="8" t="inlineStr">
        <is>
          <t>Deforestation</t>
        </is>
      </c>
      <c r="C13" s="8" t="inlineStr">
        <is>
          <t>INPE</t>
        </is>
      </c>
      <c r="D13" s="8" t="inlineStr">
        <is>
          <t>Brazilian Amazon and Cerrado</t>
        </is>
      </c>
      <c r="E13" s="8" t="inlineStr">
        <is>
          <t>Polygon alerts</t>
        </is>
      </c>
      <c r="F13" s="8" t="inlineStr">
        <is>
          <t>Near-real-time</t>
        </is>
      </c>
      <c r="G13" s="8" t="inlineStr">
        <is>
          <t>Open</t>
        </is>
      </c>
      <c r="H13" s="8" t="inlineStr">
        <is>
          <t>TerraBrasilis API and download</t>
        </is>
      </c>
      <c r="I13" s="8" t="inlineStr">
        <is>
          <t>terrabrasilis.dpi.inpe.br</t>
        </is>
      </c>
      <c r="J13" s="8" t="inlineStr">
        <is>
          <t>Which clearings are new this fortnight?</t>
        </is>
      </c>
      <c r="K13" s="8" t="inlineStr">
        <is>
          <t>Designed for enforcement targeting; already used that way.</t>
        </is>
      </c>
    </row>
    <row r="14" ht="58" customHeight="1">
      <c r="A14" s="8" t="inlineStr">
        <is>
          <t>PRODES</t>
        </is>
      </c>
      <c r="B14" s="8" t="inlineStr">
        <is>
          <t>Deforestation</t>
        </is>
      </c>
      <c r="C14" s="8" t="inlineStr">
        <is>
          <t>INPE</t>
        </is>
      </c>
      <c r="D14" s="8" t="inlineStr">
        <is>
          <t>Brazilian biomes</t>
        </is>
      </c>
      <c r="E14" s="8" t="inlineStr">
        <is>
          <t>Annual clear-cut polygons</t>
        </is>
      </c>
      <c r="F14" s="8" t="inlineStr">
        <is>
          <t>Annual</t>
        </is>
      </c>
      <c r="G14" s="8" t="inlineStr">
        <is>
          <t>Open</t>
        </is>
      </c>
      <c r="H14" s="8" t="inlineStr">
        <is>
          <t>TerraBrasilis API and download</t>
        </is>
      </c>
      <c r="I14" s="8" t="inlineStr">
        <is>
          <t>terrabrasilis.dpi.inpe.br</t>
        </is>
      </c>
      <c r="J14" s="8" t="inlineStr">
        <is>
          <t>What is the official annual clearing figure?</t>
        </is>
      </c>
      <c r="K14" s="8" t="inlineStr">
        <is>
          <t>The reference series; slower but authoritative.</t>
        </is>
      </c>
    </row>
    <row r="15" ht="58" customHeight="1">
      <c r="A15" s="8" t="inlineStr">
        <is>
          <t>MapBiomas — mining module</t>
        </is>
      </c>
      <c r="B15" s="8" t="inlineStr">
        <is>
          <t>Land use</t>
        </is>
      </c>
      <c r="C15" s="8" t="inlineStr">
        <is>
          <t>MapBiomas</t>
        </is>
      </c>
      <c r="D15" s="8" t="inlineStr">
        <is>
          <t>Brazil</t>
        </is>
      </c>
      <c r="E15" s="8" t="inlineStr">
        <is>
          <t>30 m annual land cover, with garimpo/industrial split and substance attribution</t>
        </is>
      </c>
      <c r="F15" s="8" t="inlineStr">
        <is>
          <t>Annual, 1985–present</t>
        </is>
      </c>
      <c r="G15" s="8" t="inlineStr">
        <is>
          <t>CC BY-SA</t>
        </is>
      </c>
      <c r="H15" s="8" t="inlineStr">
        <is>
          <t>Download, GEE</t>
        </is>
      </c>
      <c r="I15" s="8" t="inlineStr">
        <is>
          <t>brasil.mapbiomas.org</t>
        </is>
      </c>
      <c r="J15" s="8" t="inlineStr">
        <is>
          <t>How much of the country is mined, by whom and since when?</t>
        </is>
      </c>
      <c r="K15" s="8" t="inlineStr">
        <is>
          <t>443,000 ha mined in 2022; 92% in the Amazon; 263,000 ha garimpo.</t>
        </is>
      </c>
    </row>
    <row r="16" ht="58" customHeight="1">
      <c r="A16" s="8" t="inlineStr">
        <is>
          <t>ANM SIGMINE</t>
        </is>
      </c>
      <c r="B16" s="8" t="inlineStr">
        <is>
          <t>Mining cadastre</t>
        </is>
      </c>
      <c r="C16" s="8" t="inlineStr">
        <is>
          <t>ANM (Brazil)</t>
        </is>
      </c>
      <c r="D16" s="8" t="inlineStr">
        <is>
          <t>Brazil</t>
        </is>
      </c>
      <c r="E16" s="8" t="inlineStr">
        <is>
          <t>Polygons of every active and inactive mining process</t>
        </is>
      </c>
      <c r="F16" s="8" t="inlineStr">
        <is>
          <t>Daily</t>
        </is>
      </c>
      <c r="G16" s="8" t="inlineStr">
        <is>
          <t>Open government data</t>
        </is>
      </c>
      <c r="H16" s="8" t="inlineStr">
        <is>
          <t>Bulk SHP/KML; ArcGIS REST</t>
        </is>
      </c>
      <c r="I16" s="8" t="inlineStr">
        <is>
          <t>dadosabertos.anm.gov.br/SIGMINE/PROCESSOS_MINERARIOS/</t>
        </is>
      </c>
      <c r="J16" s="8" t="inlineStr">
        <is>
          <t>Who is authorised to work exactly which polygon?</t>
        </is>
      </c>
      <c r="K16" s="8" t="inlineStr">
        <is>
          <t>The single most important non-imagery input. ArcGIS REST at geo.anm.gov.br.</t>
        </is>
      </c>
    </row>
    <row r="17" ht="58" customHeight="1">
      <c r="A17" s="8" t="inlineStr">
        <is>
          <t>ANM Cadastro Mineiro</t>
        </is>
      </c>
      <c r="B17" s="8" t="inlineStr">
        <is>
          <t>Mining cadastre</t>
        </is>
      </c>
      <c r="C17" s="8" t="inlineStr">
        <is>
          <t>ANM (Brazil)</t>
        </is>
      </c>
      <c r="D17" s="8" t="inlineStr">
        <is>
          <t>Brazil</t>
        </is>
      </c>
      <c r="E17" s="8" t="inlineStr">
        <is>
          <t>Requests, titles, holders, regimes</t>
        </is>
      </c>
      <c r="F17" s="8" t="inlineStr">
        <is>
          <t>Daily micro-datasets</t>
        </is>
      </c>
      <c r="G17" s="8" t="inlineStr">
        <is>
          <t>Open government data</t>
        </is>
      </c>
      <c r="H17" s="8" t="inlineStr">
        <is>
          <t>dados.gov.br</t>
        </is>
      </c>
      <c r="I17" s="8" t="inlineStr">
        <is>
          <t>dados.gov.br/dados/conjuntos-dados/sistema-de-cadastro-mineiro</t>
        </is>
      </c>
      <c r="J17" s="8" t="inlineStr">
        <is>
          <t>What is the legal status of this title today?</t>
        </is>
      </c>
      <c r="K17" s="8" t="inlineStr">
        <is>
          <t>Status matters as much as geometry: a requerimento authorises nothing.</t>
        </is>
      </c>
    </row>
    <row r="18" ht="58" customHeight="1">
      <c r="A18" s="8" t="inlineStr">
        <is>
          <t>ANM CFEM (arrecadação)</t>
        </is>
      </c>
      <c r="B18" s="8" t="inlineStr">
        <is>
          <t>Royalties</t>
        </is>
      </c>
      <c r="C18" s="8" t="inlineStr">
        <is>
          <t>ANM (Brazil)</t>
        </is>
      </c>
      <c r="D18" s="8" t="inlineStr">
        <is>
          <t>Brazil</t>
        </is>
      </c>
      <c r="E18" s="8" t="inlineStr">
        <is>
          <t>Royalty payments by process and period</t>
        </is>
      </c>
      <c r="F18" s="8" t="inlineStr">
        <is>
          <t>Monthly</t>
        </is>
      </c>
      <c r="G18" s="8" t="inlineStr">
        <is>
          <t>Open government data</t>
        </is>
      </c>
      <c r="H18" s="8" t="inlineStr">
        <is>
          <t>dados.gov.br</t>
        </is>
      </c>
      <c r="I18" s="8" t="inlineStr">
        <is>
          <t>dados.gov.br/dados/conjuntos-dados/sistema-arrecadacao</t>
        </is>
      </c>
      <c r="J18" s="8" t="inlineStr">
        <is>
          <t>What production has been declared, and what was paid on it?</t>
        </is>
      </c>
      <c r="K18" s="8" t="inlineStr">
        <is>
          <t>The declared-production proxy. TCU found R$16.4 bn uncollected over eight years.</t>
        </is>
      </c>
    </row>
    <row r="19" ht="58" customHeight="1">
      <c r="A19" s="8" t="inlineStr">
        <is>
          <t>ANM SIGBM</t>
        </is>
      </c>
      <c r="B19" s="8" t="inlineStr">
        <is>
          <t>Tailings dams</t>
        </is>
      </c>
      <c r="C19" s="8" t="inlineStr">
        <is>
          <t>ANM (Brazil)</t>
        </is>
      </c>
      <c r="D19" s="8" t="inlineStr">
        <is>
          <t>Brazil</t>
        </is>
      </c>
      <c r="E19" s="8" t="inlineStr">
        <is>
          <t>Dam characteristics, tailings type, emergency level</t>
        </is>
      </c>
      <c r="F19" s="8" t="inlineStr">
        <is>
          <t>Real-time</t>
        </is>
      </c>
      <c r="G19" s="8" t="inlineStr">
        <is>
          <t>Open government data; public viewer</t>
        </is>
      </c>
      <c r="H19" s="8" t="inlineStr">
        <is>
          <t>dados.gov.br; sigbm.anm.gov.br/Publico</t>
        </is>
      </c>
      <c r="I19" s="8" t="inlineStr">
        <is>
          <t>sigbm.anm.gov.br/Publico</t>
        </is>
      </c>
      <c r="J19" s="8" t="inlineStr">
        <is>
          <t>Which structures exist, and which are already in alert?</t>
        </is>
      </c>
      <c r="K19" s="8" t="inlineStr">
        <is>
          <t>917 dams registered Nov 2025; 470 under the PNSB; 93 in alert or emergency.</t>
        </is>
      </c>
    </row>
    <row r="20" ht="58" customHeight="1">
      <c r="A20" s="8" t="inlineStr">
        <is>
          <t>ANM TAH</t>
        </is>
      </c>
      <c r="B20" s="8" t="inlineStr">
        <is>
          <t>Fiscal</t>
        </is>
      </c>
      <c r="C20" s="8" t="inlineStr">
        <is>
          <t>ANM (Brazil)</t>
        </is>
      </c>
      <c r="D20" s="8" t="inlineStr">
        <is>
          <t>Brazil</t>
        </is>
      </c>
      <c r="E20" s="8" t="inlineStr">
        <is>
          <t>Annual per-hectare fee by process, year, holder, area</t>
        </is>
      </c>
      <c r="F20" s="8" t="inlineStr">
        <is>
          <t>Annual</t>
        </is>
      </c>
      <c r="G20" s="8" t="inlineStr">
        <is>
          <t>Open government data</t>
        </is>
      </c>
      <c r="H20" s="8" t="inlineStr">
        <is>
          <t>dados.gov.br</t>
        </is>
      </c>
      <c r="I20" s="8" t="inlineStr">
        <is>
          <t>dados.gov.br/dados/conjuntos-dados/taxa-anual-por-hectare-tah</t>
        </is>
      </c>
      <c r="J20" s="8" t="inlineStr">
        <is>
          <t>Is the holder paying to hold the area at all?</t>
        </is>
      </c>
      <c r="K20" s="8" t="inlineStr">
        <is>
          <t>Non-payment is a cheap early signal of a dormant or abandoned title.</t>
        </is>
      </c>
    </row>
    <row r="21" ht="58" customHeight="1">
      <c r="A21" s="8" t="inlineStr">
        <is>
          <t>Anuário Mineral Brasileiro</t>
        </is>
      </c>
      <c r="B21" s="8" t="inlineStr">
        <is>
          <t>Production</t>
        </is>
      </c>
      <c r="C21" s="8" t="inlineStr">
        <is>
          <t>ANM (Brazil)</t>
        </is>
      </c>
      <c r="D21" s="8" t="inlineStr">
        <is>
          <t>Brazil</t>
        </is>
      </c>
      <c r="E21" s="8" t="inlineStr">
        <is>
          <t>Production and destination — sales, transfers, consumption</t>
        </is>
      </c>
      <c r="F21" s="8" t="inlineStr">
        <is>
          <t>Annual, from 2010</t>
        </is>
      </c>
      <c r="G21" s="8" t="inlineStr">
        <is>
          <t>Open government data</t>
        </is>
      </c>
      <c r="H21" s="8" t="inlineStr">
        <is>
          <t>dados.gov.br</t>
        </is>
      </c>
      <c r="I21" s="8" t="inlineStr">
        <is>
          <t>dados.gov.br/dados/conjuntos-dados/anuario-mineral-brasileiro-amb</t>
        </is>
      </c>
      <c r="J21" s="8" t="inlineStr">
        <is>
          <t>What did this operation say it produced last year?</t>
        </is>
      </c>
      <c r="K21" s="8" t="inlineStr">
        <is>
          <t>Cross-check against CFEM and against the company's own annual report.</t>
        </is>
      </c>
    </row>
    <row r="22" ht="58" customHeight="1">
      <c r="A22" s="8" t="inlineStr">
        <is>
          <t>EU high-value datasets</t>
        </is>
      </c>
      <c r="B22" s="8" t="inlineStr">
        <is>
          <t>Cadastre and environment</t>
        </is>
      </c>
      <c r="C22" s="8" t="inlineStr">
        <is>
          <t>EU member states</t>
        </is>
      </c>
      <c r="D22" s="8" t="inlineStr">
        <is>
          <t>EU</t>
        </is>
      </c>
      <c r="E22" s="8" t="inlineStr">
        <is>
          <t>INSPIRE themes plus environmental priority data; scales to 1:5000</t>
        </is>
      </c>
      <c r="F22" s="8" t="inlineStr">
        <is>
          <t>As published; current plus historical versions required</t>
        </is>
      </c>
      <c r="G22" s="8" t="inlineStr">
        <is>
          <t>CC BY 4.0 or less restrictive (mandatory)</t>
        </is>
      </c>
      <c r="H22" s="8" t="inlineStr">
        <is>
          <t>API and bulk download (mandatory)</t>
        </is>
      </c>
      <c r="I22" s="8" t="inlineStr">
        <is>
          <t>eur-lex.europa.eu/eli/reg_impl/2023/138/oj/eng</t>
        </is>
      </c>
      <c r="J22" s="8" t="inlineStr">
        <is>
          <t>Where are the licences, protected areas and environmental records in this member state?</t>
        </is>
      </c>
      <c r="K22" s="8" t="inlineStr">
        <is>
          <t>Implementing Reg. (EU) 2023/138. The EU has already legislated the supply side of this architecture. Compliance was due mid-2024.</t>
        </is>
      </c>
    </row>
    <row r="23" ht="58" customHeight="1">
      <c r="A23" s="8" t="inlineStr">
        <is>
          <t>EITI country reports</t>
        </is>
      </c>
      <c r="B23" s="8" t="inlineStr">
        <is>
          <t>Payments and ownership</t>
        </is>
      </c>
      <c r="C23" s="8" t="inlineStr">
        <is>
          <t>EITI + implementing countries</t>
        </is>
      </c>
      <c r="D23" s="8" t="inlineStr">
        <is>
          <t>~50 countries</t>
        </is>
      </c>
      <c r="E23" s="8" t="inlineStr">
        <is>
          <t>Payments, beneficial ownership, contracts</t>
        </is>
      </c>
      <c r="F23" s="8" t="inlineStr">
        <is>
          <t>Annual; systematic disclosure encouraged</t>
        </is>
      </c>
      <c r="G23" s="8" t="inlineStr">
        <is>
          <t>Open (EITI open data policy)</t>
        </is>
      </c>
      <c r="H23" s="8" t="inlineStr">
        <is>
          <t>Download, country portals</t>
        </is>
      </c>
      <c r="I23" s="8" t="inlineStr">
        <is>
          <t>eiti.org</t>
        </is>
      </c>
      <c r="J23" s="8" t="inlineStr">
        <is>
          <t>Who owns this and what did they pay?</t>
        </is>
      </c>
      <c r="K23" s="8" t="inlineStr">
        <is>
          <t>2023 Standard strengthened beneficial-ownership and contract transparency.</t>
        </is>
      </c>
    </row>
    <row r="24" ht="58" customHeight="1">
      <c r="A24" s="8" t="inlineStr">
        <is>
          <t>EU Accounting Directive Ch. 10</t>
        </is>
      </c>
      <c r="B24" s="8" t="inlineStr">
        <is>
          <t>Payments</t>
        </is>
      </c>
      <c r="C24" s="8" t="inlineStr">
        <is>
          <t>EU-listed extractive companies</t>
        </is>
      </c>
      <c r="D24" s="8" t="inlineStr">
        <is>
          <t>EU</t>
        </is>
      </c>
      <c r="E24" s="8" t="inlineStr">
        <is>
          <t>Payments to governments by project</t>
        </is>
      </c>
      <c r="F24" s="8" t="inlineStr">
        <is>
          <t>Annual</t>
        </is>
      </c>
      <c r="G24" s="8" t="inlineStr">
        <is>
          <t>Public filing</t>
        </is>
      </c>
      <c r="H24" s="8" t="inlineStr">
        <is>
          <t>Company reports, national registers</t>
        </is>
      </c>
      <c r="I24" s="8" t="inlineStr">
        <is>
          <t>—</t>
        </is>
      </c>
      <c r="J24" s="8" t="inlineStr">
        <is>
          <t>Does what they told shareholders match what they told the tax authority?</t>
        </is>
      </c>
      <c r="K24" s="8" t="inlineStr">
        <is>
          <t>Cross-filing divergence needs no remote sensing and is often the strongest signal.</t>
        </is>
      </c>
    </row>
    <row r="25" ht="58" customHeight="1">
      <c r="A25" s="8" t="inlineStr">
        <is>
          <t>ESTMA reports</t>
        </is>
      </c>
      <c r="B25" s="8" t="inlineStr">
        <is>
          <t>Payments</t>
        </is>
      </c>
      <c r="C25" s="8" t="inlineStr">
        <is>
          <t>Canadian-listed extractive companies</t>
        </is>
      </c>
      <c r="D25" s="8" t="inlineStr">
        <is>
          <t>Global</t>
        </is>
      </c>
      <c r="E25" s="8" t="inlineStr">
        <is>
          <t>Payments to governments</t>
        </is>
      </c>
      <c r="F25" s="8" t="inlineStr">
        <is>
          <t>Annual</t>
        </is>
      </c>
      <c r="G25" s="8" t="inlineStr">
        <is>
          <t>Public filing</t>
        </is>
      </c>
      <c r="H25" s="8" t="inlineStr">
        <is>
          <t>Natural Resources Canada</t>
        </is>
      </c>
      <c r="I25" s="8" t="inlineStr">
        <is>
          <t>natural-resources.canada.ca</t>
        </is>
      </c>
      <c r="J25" s="8" t="inlineStr">
        <is>
          <t>Same question, different regime.</t>
        </is>
      </c>
      <c r="K25" s="8" t="inlineStr">
        <is>
          <t>Useful where a Canadian-listed parent operates elsewhere.</t>
        </is>
      </c>
    </row>
    <row r="26" ht="58" customHeight="1">
      <c r="A26" s="8" t="inlineStr">
        <is>
          <t>Global-scale mining polygons v2</t>
        </is>
      </c>
      <c r="B26" s="8" t="inlineStr">
        <is>
          <t>Reference</t>
        </is>
      </c>
      <c r="C26" s="8" t="inlineStr">
        <is>
          <t>Maus et al. / IIASA-WU</t>
        </is>
      </c>
      <c r="D26" s="8" t="inlineStr">
        <is>
          <t>145 countries</t>
        </is>
      </c>
      <c r="E26" s="8" t="inlineStr">
        <is>
          <t>44,929 polygons; 101,583 km²; from 2019 Sentinel-2 cloudless mosaic</t>
        </is>
      </c>
      <c r="F26" s="8" t="inlineStr">
        <is>
          <t>Static (2019)</t>
        </is>
      </c>
      <c r="G26" s="8" t="inlineStr">
        <is>
          <t>CC BY-SA 4.0</t>
        </is>
      </c>
      <c r="H26" s="8" t="inlineStr">
        <is>
          <t>PANGAEA download</t>
        </is>
      </c>
      <c r="I26" s="8" t="inlineStr">
        <is>
          <t>doi.org/10.1594/PANGAEA.942325</t>
        </is>
      </c>
      <c r="J26" s="8" t="inlineStr">
        <is>
          <t>Where are the world's mines, roughly?</t>
        </is>
      </c>
      <c r="K26" s="8" t="inlineStr">
        <is>
          <t>Accuracy 88.3%; user's 97.2%; producer's 78.9%; F1 0.87. A starting gazetteer, not a cadastre.</t>
        </is>
      </c>
    </row>
    <row r="27" ht="58" customHeight="1">
      <c r="A27" s="8" t="inlineStr">
        <is>
          <t>Open database of mine production</t>
        </is>
      </c>
      <c r="B27" s="8" t="inlineStr">
        <is>
          <t>Reference</t>
        </is>
      </c>
      <c r="C27" s="8" t="inlineStr">
        <is>
          <t>Jasansky et al.</t>
        </is>
      </c>
      <c r="D27" s="8" t="inlineStr">
        <is>
          <t>80 countries</t>
        </is>
      </c>
      <c r="E27" s="8" t="inlineStr">
        <is>
          <t>1,171 mines; 80 materials; 2000–2021; Brazil 89 facilities</t>
        </is>
      </c>
      <c r="F27" s="8" t="inlineStr">
        <is>
          <t>Static</t>
        </is>
      </c>
      <c r="G27" s="8" t="inlineStr">
        <is>
          <t>CC BY 4.0 (data); GPL-3 (code)</t>
        </is>
      </c>
      <c r="H27" s="8" t="inlineStr">
        <is>
          <t>Zenodo</t>
        </is>
      </c>
      <c r="I27" s="8" t="inlineStr">
        <is>
          <t>doi.org/10.5281/zenodo.7369478</t>
        </is>
      </c>
      <c r="J27" s="8" t="inlineStr">
        <is>
          <t>What has this mine historically produced?</t>
        </is>
      </c>
      <c r="K27" s="8" t="inlineStr">
        <is>
          <t>Hand-built from &gt;1,900 company reports; every datum linked to its source. China under-covered; excludes artisanal mining.</t>
        </is>
      </c>
    </row>
    <row r="28" ht="58" customHeight="1">
      <c r="A28" s="8" t="inlineStr">
        <is>
          <t>Global Tailings Portal</t>
        </is>
      </c>
      <c r="B28" s="8" t="inlineStr">
        <is>
          <t>Tailings</t>
        </is>
      </c>
      <c r="C28" s="8" t="inlineStr">
        <is>
          <t>GRID-Arendal + Investor Mining and Tailings Safety Initiative</t>
        </is>
      </c>
      <c r="D28" s="8" t="inlineStr">
        <is>
          <t>Global</t>
        </is>
      </c>
      <c r="E28" s="8" t="inlineStr">
        <is>
          <t>~1,800 facilities; ~100 companies; 20 field categories</t>
        </is>
      </c>
      <c r="F28" s="8" t="inlineStr">
        <is>
          <t>Irregular</t>
        </is>
      </c>
      <c r="G28" s="8" t="inlineStr">
        <is>
          <t>Searchable; bulk on request</t>
        </is>
      </c>
      <c r="H28" s="8" t="inlineStr">
        <is>
          <t>Web portal</t>
        </is>
      </c>
      <c r="I28" s="8" t="inlineStr">
        <is>
          <t>tailing.grida.no</t>
        </is>
      </c>
      <c r="J28" s="8" t="inlineStr">
        <is>
          <t>What kind of structure is this, and how was it raised?</t>
        </is>
      </c>
      <c r="K28" s="8" t="inlineStr">
        <is>
          <t>Only 332 of 727 surveyed listed companies responded — itself a finding about the disclosure regime.</t>
        </is>
      </c>
    </row>
    <row r="29" ht="58" customHeight="1">
      <c r="A29" s="8" t="inlineStr">
        <is>
          <t>Global Coal Mine Tracker</t>
        </is>
      </c>
      <c r="B29" s="8" t="inlineStr">
        <is>
          <t>Reference</t>
        </is>
      </c>
      <c r="C29" s="8" t="inlineStr">
        <is>
          <t>Global Energy Monitor</t>
        </is>
      </c>
      <c r="D29" s="8" t="inlineStr">
        <is>
          <t>Global</t>
        </is>
      </c>
      <c r="E29" s="8" t="inlineStr">
        <is>
          <t>Operator, ownership, status, coal type, workforce, location</t>
        </is>
      </c>
      <c r="F29" s="8" t="inlineStr">
        <is>
          <t>Annual since 2023</t>
        </is>
      </c>
      <c r="G29" s="8" t="inlineStr">
        <is>
          <t>Open</t>
        </is>
      </c>
      <c r="H29" s="8" t="inlineStr">
        <is>
          <t>Download</t>
        </is>
      </c>
      <c r="I29" s="8" t="inlineStr">
        <is>
          <t>globalenergymonitor.org</t>
        </is>
      </c>
      <c r="J29" s="8" t="inlineStr">
        <is>
          <t>Who operates this coal mine and what is its status?</t>
        </is>
      </c>
      <c r="K29" s="8" t="inlineStr">
        <is>
          <t>Validated against government sources, company reports, media and field contacts.</t>
        </is>
      </c>
    </row>
    <row r="30" ht="58" customHeight="1">
      <c r="A30" s="8" t="inlineStr">
        <is>
          <t>JRC Global Surface Water</t>
        </is>
      </c>
      <c r="B30" s="8" t="inlineStr">
        <is>
          <t>Water</t>
        </is>
      </c>
      <c r="C30" s="8" t="inlineStr">
        <is>
          <t>EC Joint Research Centre</t>
        </is>
      </c>
      <c r="D30" s="8" t="inlineStr">
        <is>
          <t>Global</t>
        </is>
      </c>
      <c r="E30" s="8" t="inlineStr">
        <is>
          <t>30 m; occurrence, change, seasonality, 1984–present</t>
        </is>
      </c>
      <c r="F30" s="8" t="inlineStr">
        <is>
          <t>Annual</t>
        </is>
      </c>
      <c r="G30" s="8" t="inlineStr">
        <is>
          <t>Open</t>
        </is>
      </c>
      <c r="H30" s="8" t="inlineStr">
        <is>
          <t>GEE, download</t>
        </is>
      </c>
      <c r="I30" s="8" t="inlineStr">
        <is>
          <t>global-surface-water.appspot.com</t>
        </is>
      </c>
      <c r="J30" s="8" t="inlineStr">
        <is>
          <t>Was there water here before the impoundment was built?</t>
        </is>
      </c>
      <c r="K30" s="8" t="inlineStr">
        <is>
          <t>The baseline against which a new pond is 'new'.</t>
        </is>
      </c>
    </row>
    <row r="31" ht="58" customHeight="1">
      <c r="A31" s="8" t="inlineStr">
        <is>
          <t>WDPA / CNUC / FUNAI</t>
        </is>
      </c>
      <c r="B31" s="8" t="inlineStr">
        <is>
          <t>Protected areas</t>
        </is>
      </c>
      <c r="C31" s="8" t="inlineStr">
        <is>
          <t>UNEP-WCMC; MMA; FUNAI</t>
        </is>
      </c>
      <c r="D31" s="8" t="inlineStr">
        <is>
          <t>Global / Brazil</t>
        </is>
      </c>
      <c r="E31" s="8" t="inlineStr">
        <is>
          <t>Protected-area and Indigenous-land boundaries</t>
        </is>
      </c>
      <c r="F31" s="8" t="inlineStr">
        <is>
          <t>Monthly to irregular</t>
        </is>
      </c>
      <c r="G31" s="8" t="inlineStr">
        <is>
          <t>Varies — check per layer</t>
        </is>
      </c>
      <c r="H31" s="8" t="inlineStr">
        <is>
          <t>Download, WFS</t>
        </is>
      </c>
      <c r="I31" s="8" t="inlineStr">
        <is>
          <t>protectedplanet.net</t>
        </is>
      </c>
      <c r="J31" s="8" t="inlineStr">
        <is>
          <t>Is this area one where extraction is categorically prohibited?</t>
        </is>
      </c>
      <c r="K31" s="8" t="inlineStr">
        <is>
          <t>Boundary provenance matters: use the national register of record, not a global aggregate, for anything that will be acted on.</t>
        </is>
      </c>
    </row>
    <row r="32" ht="58" customHeight="1">
      <c r="A32" s="8" t="inlineStr">
        <is>
          <t>OpenCorporates</t>
        </is>
      </c>
      <c r="B32" s="8" t="inlineStr">
        <is>
          <t>Corporate</t>
        </is>
      </c>
      <c r="C32" s="8" t="inlineStr">
        <is>
          <t>OpenCorporates</t>
        </is>
      </c>
      <c r="D32" s="8" t="inlineStr">
        <is>
          <t>Global</t>
        </is>
      </c>
      <c r="E32" s="8" t="inlineStr">
        <is>
          <t>Company registrations and officers</t>
        </is>
      </c>
      <c r="F32" s="8" t="inlineStr">
        <is>
          <t>Continuous</t>
        </is>
      </c>
      <c r="G32" s="8" t="inlineStr">
        <is>
          <t>Mixed — check terms</t>
        </is>
      </c>
      <c r="H32" s="8" t="inlineStr">
        <is>
          <t>API</t>
        </is>
      </c>
      <c r="I32" s="8" t="inlineStr">
        <is>
          <t>opencorporates.com</t>
        </is>
      </c>
      <c r="J32" s="8" t="inlineStr">
        <is>
          <t>Who is behind the holder of record?</t>
        </is>
      </c>
      <c r="K32" s="8" t="inlineStr">
        <is>
          <t>Combine with EITI beneficial-ownership disclosures.</t>
        </is>
      </c>
    </row>
    <row r="33" ht="58" customHeight="1">
      <c r="A33" s="8" t="inlineStr">
        <is>
          <t>Open Ownership Register</t>
        </is>
      </c>
      <c r="B33" s="8" t="inlineStr">
        <is>
          <t>Corporate</t>
        </is>
      </c>
      <c r="C33" s="8" t="inlineStr">
        <is>
          <t>Open Ownership</t>
        </is>
      </c>
      <c r="D33" s="8" t="inlineStr">
        <is>
          <t>~30 jurisdictions</t>
        </is>
      </c>
      <c r="E33" s="8" t="inlineStr">
        <is>
          <t>Beneficial-ownership declarations in a common data standard</t>
        </is>
      </c>
      <c r="F33" s="8" t="inlineStr">
        <is>
          <t>Continuous</t>
        </is>
      </c>
      <c r="G33" s="8" t="inlineStr">
        <is>
          <t>Open (Beneficial Ownership Data Standard)</t>
        </is>
      </c>
      <c r="H33" s="8" t="inlineStr">
        <is>
          <t>Bulk download, API</t>
        </is>
      </c>
      <c r="I33" s="8" t="inlineStr">
        <is>
          <t>register.openownership.org</t>
        </is>
      </c>
      <c r="J33" s="8" t="inlineStr">
        <is>
          <t>Who ultimately benefits from the holder of record?</t>
        </is>
      </c>
      <c r="K33" s="8" t="inlineStr">
        <is>
          <t>Ingests country beneficial-ownership registers (including EITI-mandated ones) into one schema. The natural companion to the CFEM/EITI/Ch.10 cross-filing check.</t>
        </is>
      </c>
    </row>
    <row r="34" ht="58" customHeight="1">
      <c r="A34" s="8" t="inlineStr">
        <is>
          <t>Resource Contracts Portal</t>
        </is>
      </c>
      <c r="B34" s="8" t="inlineStr">
        <is>
          <t>Contracts</t>
        </is>
      </c>
      <c r="C34" s="8" t="inlineStr">
        <is>
          <t>NRGI / World Bank / Columbia CCSI</t>
        </is>
      </c>
      <c r="D34" s="8" t="inlineStr">
        <is>
          <t>~100 countries</t>
        </is>
      </c>
      <c r="E34" s="8" t="inlineStr">
        <is>
          <t>Full text of mining and oil contracts, annotated</t>
        </is>
      </c>
      <c r="F34" s="8" t="inlineStr">
        <is>
          <t>As published/submitted</t>
        </is>
      </c>
      <c r="G34" s="8" t="inlineStr">
        <is>
          <t>Open</t>
        </is>
      </c>
      <c r="H34" s="8" t="inlineStr">
        <is>
          <t>Web portal, bulk download</t>
        </is>
      </c>
      <c r="I34" s="8" t="inlineStr">
        <is>
          <t>resourcecontracts.org</t>
        </is>
      </c>
      <c r="J34" s="8" t="inlineStr">
        <is>
          <t>What did the state actually agree to on this title?</t>
        </is>
      </c>
      <c r="K34" s="8" t="inlineStr">
        <is>
          <t>The contract itself, not just the registry entry — useful where the cadastre records status but not terms.</t>
        </is>
      </c>
    </row>
    <row r="35" ht="58" customHeight="1">
      <c r="A35" s="8" t="inlineStr">
        <is>
          <t>Global Forest Watch platform</t>
        </is>
      </c>
      <c r="B35" s="8" t="inlineStr">
        <is>
          <t>Deforestation — access layer</t>
        </is>
      </c>
      <c r="C35" s="8" t="inlineStr">
        <is>
          <t>World Resources Institute</t>
        </is>
      </c>
      <c r="D35" s="8" t="inlineStr">
        <is>
          <t>Global</t>
        </is>
      </c>
      <c r="E35" s="8" t="inlineStr">
        <is>
          <t>Unified access to RADD, GLAD-L, GLAD-S2 and Hansen annual loss over one map/API</t>
        </is>
      </c>
      <c r="F35" s="8" t="inlineStr">
        <is>
          <t>Near-real-time to annual, depending on the layer</t>
        </is>
      </c>
      <c r="G35" s="8" t="inlineStr">
        <is>
          <t>CC BY 4.0</t>
        </is>
      </c>
      <c r="H35" s="8" t="inlineStr">
        <is>
          <t>Web map, API, bulk download</t>
        </is>
      </c>
      <c r="I35" s="8" t="inlineStr">
        <is>
          <t>globalforestwatch.org</t>
        </is>
      </c>
      <c r="J35" s="8" t="inlineStr">
        <is>
          <t>Which alert product is the right one for this region and this question?</t>
        </is>
      </c>
      <c r="K35" s="8" t="inlineStr">
        <is>
          <t>Useful as the ingestion point rather than wiring each underlying product separately; GLAD-L/S2 extend near-real-time coverage outside RADD's footprint.</t>
        </is>
      </c>
    </row>
    <row r="36" ht="58" customHeight="1">
      <c r="A36" s="8" t="inlineStr">
        <is>
          <t>ESA WorldCover</t>
        </is>
      </c>
      <c r="B36" s="8" t="inlineStr">
        <is>
          <t>Land cover baseline</t>
        </is>
      </c>
      <c r="C36" s="8" t="inlineStr">
        <is>
          <t>ESA / VITO</t>
        </is>
      </c>
      <c r="D36" s="8" t="inlineStr">
        <is>
          <t>Global</t>
        </is>
      </c>
      <c r="E36" s="8" t="inlineStr">
        <is>
          <t>10 m, 11 land-cover classes, two epochs (2020, 2021)</t>
        </is>
      </c>
      <c r="F36" s="8" t="inlineStr">
        <is>
          <t>Static per epoch</t>
        </is>
      </c>
      <c r="G36" s="8" t="inlineStr">
        <is>
          <t>CC BY 4.0</t>
        </is>
      </c>
      <c r="H36" s="8" t="inlineStr">
        <is>
          <t>STAC, download</t>
        </is>
      </c>
      <c r="I36" s="8" t="inlineStr">
        <is>
          <t>esa-worldcover.org</t>
        </is>
      </c>
      <c r="J36" s="8" t="inlineStr">
        <is>
          <t>What was here before it became a mine — cropland, forest, already-bare ground?</t>
        </is>
      </c>
      <c r="K36" s="8" t="inlineStr">
        <is>
          <t>The independent baseline that keeps the footprint detector honest about what counts as 'disturbed' in a given landscape.</t>
        </is>
      </c>
    </row>
    <row r="37" ht="58" customHeight="1">
      <c r="A37" s="8" t="inlineStr">
        <is>
          <t>OpenStreetMap</t>
        </is>
      </c>
      <c r="B37" s="8" t="inlineStr">
        <is>
          <t>Infrastructure baseline</t>
        </is>
      </c>
      <c r="C37" s="8" t="inlineStr">
        <is>
          <t>OSM Foundation / contributors</t>
        </is>
      </c>
      <c r="D37" s="8" t="inlineStr">
        <is>
          <t>Global</t>
        </is>
      </c>
      <c r="E37" s="8" t="inlineStr">
        <is>
          <t>Roads, haul-road candidates, settlements, watercourses</t>
        </is>
      </c>
      <c r="F37" s="8" t="inlineStr">
        <is>
          <t>Continuous, crowd-sourced</t>
        </is>
      </c>
      <c r="G37" s="8" t="inlineStr">
        <is>
          <t>ODbL 1.0</t>
        </is>
      </c>
      <c r="H37" s="8" t="inlineStr">
        <is>
          <t>API (Overpass), bulk extracts</t>
        </is>
      </c>
      <c r="I37" s="8" t="inlineStr">
        <is>
          <t>openstreetmap.org</t>
        </is>
      </c>
      <c r="J37" s="8" t="inlineStr">
        <is>
          <t>Is this a new haul road, and does it reach a settlement or a river?</t>
        </is>
      </c>
      <c r="K37" s="8" t="inlineStr">
        <is>
          <t>Coverage quality varies strongly by region; verify against imagery before relying on it evidentially.</t>
        </is>
      </c>
    </row>
    <row r="38" ht="58" customHeight="1">
      <c r="A38" s="8" t="inlineStr">
        <is>
          <t>USGS Mineral Resources Data System (MRDS)</t>
        </is>
      </c>
      <c r="B38" s="8" t="inlineStr">
        <is>
          <t>Reference</t>
        </is>
      </c>
      <c r="C38" s="8" t="inlineStr">
        <is>
          <t>USGS</t>
        </is>
      </c>
      <c r="D38" s="8" t="inlineStr">
        <is>
          <t>USA + global sites</t>
        </is>
      </c>
      <c r="E38" s="8" t="inlineStr">
        <is>
          <t>~330,000 historical mineral occurrences, deposits and prospects</t>
        </is>
      </c>
      <c r="F38" s="8" t="inlineStr">
        <is>
          <t>Static, periodically revised</t>
        </is>
      </c>
      <c r="G38" s="8" t="inlineStr">
        <is>
          <t>Public domain</t>
        </is>
      </c>
      <c r="H38" s="8" t="inlineStr">
        <is>
          <t>Download, ArcGIS REST</t>
        </is>
      </c>
      <c r="I38" s="8" t="inlineStr">
        <is>
          <t>mrdata.usgs.gov/mrds/</t>
        </is>
      </c>
      <c r="J38" s="8" t="inlineStr">
        <is>
          <t>Has this location been mined or prospected before?</t>
        </is>
      </c>
      <c r="K38" s="8" t="inlineStr">
        <is>
          <t>The deepest historical baseline available for the pre-satellite era.</t>
        </is>
      </c>
    </row>
    <row r="39" ht="58" customHeight="1">
      <c r="A39" s="8" t="inlineStr">
        <is>
          <t>INGEMMET GEOCATMIN</t>
        </is>
      </c>
      <c r="B39" s="8" t="inlineStr">
        <is>
          <t>Mining cadastre</t>
        </is>
      </c>
      <c r="C39" s="8" t="inlineStr">
        <is>
          <t>INGEMMET (Peru)</t>
        </is>
      </c>
      <c r="D39" s="8" t="inlineStr">
        <is>
          <t>Peru</t>
        </is>
      </c>
      <c r="E39" s="8" t="inlineStr">
        <is>
          <t>Mining concession polygons, status, geological and energy layers</t>
        </is>
      </c>
      <c r="F39" s="8" t="inlineStr">
        <is>
          <t>Regularly updated</t>
        </is>
      </c>
      <c r="G39" s="8" t="inlineStr">
        <is>
          <t>Open government data</t>
        </is>
      </c>
      <c r="H39" s="8" t="inlineStr">
        <is>
          <t>Web map, WMS, e-Catastro download</t>
        </is>
      </c>
      <c r="I39" s="8" t="inlineStr">
        <is>
          <t>geocatmin.ingemmet.gob.pe</t>
        </is>
      </c>
      <c r="J39" s="8" t="inlineStr">
        <is>
          <t>Who holds the concession over this Peruvian site, and what is its status?</t>
        </is>
      </c>
      <c r="K39" s="8" t="inlineStr">
        <is>
          <t>Peru's equivalent of SIGMINE; combine with MINEM production and formalisation (REINFO) registers for the declaration cross-check.</t>
        </is>
      </c>
    </row>
    <row r="40" ht="58" customHeight="1">
      <c r="A40" s="8" t="inlineStr">
        <is>
          <t>SERNAGEOMIN Catastro Minero Online</t>
        </is>
      </c>
      <c r="B40" s="8" t="inlineStr">
        <is>
          <t>Mining cadastre</t>
        </is>
      </c>
      <c r="C40" s="8" t="inlineStr">
        <is>
          <t>SERNAGEOMIN (Chile)</t>
        </is>
      </c>
      <c r="D40" s="8" t="inlineStr">
        <is>
          <t>Chile</t>
        </is>
      </c>
      <c r="E40" s="8" t="inlineStr">
        <is>
          <t>Mining concession (pertenencia) polygons and status</t>
        </is>
      </c>
      <c r="F40" s="8" t="inlineStr">
        <is>
          <t>Regularly updated</t>
        </is>
      </c>
      <c r="G40" s="8" t="inlineStr">
        <is>
          <t>Open government data</t>
        </is>
      </c>
      <c r="H40" s="8" t="inlineStr">
        <is>
          <t>Web viewer, download</t>
        </is>
      </c>
      <c r="I40" s="8" t="inlineStr">
        <is>
          <t>catastro.sernageomin.cl</t>
        </is>
      </c>
      <c r="J40" s="8" t="inlineStr">
        <is>
          <t>Who holds the concession over this Chilean site, and what is its status?</t>
        </is>
      </c>
      <c r="K40" s="8" t="inlineStr">
        <is>
          <t>Chile's national mining cadastre; pair with SERNAGEOMIN's tailings (relaves) registry for the dam-safety layer.</t>
        </is>
      </c>
    </row>
    <row r="41" ht="58" customHeight="1">
      <c r="A41" s="8" t="inlineStr">
        <is>
          <t>CAMI — Cadastre Minier (DRC)</t>
        </is>
      </c>
      <c r="B41" s="8" t="inlineStr">
        <is>
          <t>Mining cadastre</t>
        </is>
      </c>
      <c r="C41" s="8" t="inlineStr">
        <is>
          <t>Cadastre Minier, Ministry of Mines (DRC)</t>
        </is>
      </c>
      <c r="D41" s="8" t="inlineStr">
        <is>
          <t>Democratic Republic of Congo</t>
        </is>
      </c>
      <c r="E41" s="8" t="inlineStr">
        <is>
          <t>Mining and quarry title polygons, holder and status</t>
        </is>
      </c>
      <c r="F41" s="8" t="inlineStr">
        <is>
          <t>Regularly updated</t>
        </is>
      </c>
      <c r="G41" s="8" t="inlineStr">
        <is>
          <t>Government portal — confirm re-use terms before bulk use</t>
        </is>
      </c>
      <c r="H41" s="8" t="inlineStr">
        <is>
          <t>Web map portal</t>
        </is>
      </c>
      <c r="I41" s="8" t="inlineStr">
        <is>
          <t>drclicences.cami.cd</t>
        </is>
      </c>
      <c r="J41" s="8" t="inlineStr">
        <is>
          <t>Who is authorised to work this site in the DRC, and under what kind of title?</t>
        </is>
      </c>
      <c r="K41" s="8" t="inlineStr">
        <is>
          <t>One of the oldest web-based mining cadastres in Africa (running since the 2010s); verify current polygon vintage before relying on it for boundary work.</t>
        </is>
      </c>
    </row>
    <row r="42" ht="58" customHeight="1">
      <c r="A42" s="8" t="inlineStr">
        <is>
          <t>Ghana Minerals Commission — Mining Cadastre (MCAS)</t>
        </is>
      </c>
      <c r="B42" s="8" t="inlineStr">
        <is>
          <t>Mining cadastre</t>
        </is>
      </c>
      <c r="C42" s="8" t="inlineStr">
        <is>
          <t>Minerals Commission (Ghana)</t>
        </is>
      </c>
      <c r="D42" s="8" t="inlineStr">
        <is>
          <t>Ghana</t>
        </is>
      </c>
      <c r="E42" s="8" t="inlineStr">
        <is>
          <t>Mineral rights applications, licences and their spatial extent</t>
        </is>
      </c>
      <c r="F42" s="8" t="inlineStr">
        <is>
          <t>Regularly updated</t>
        </is>
      </c>
      <c r="G42" s="8" t="inlineStr">
        <is>
          <t>Government portal</t>
        </is>
      </c>
      <c r="H42" s="8" t="inlineStr">
        <is>
          <t>Web portal (Mining Cadastre Administration System)</t>
        </is>
      </c>
      <c r="I42" s="8" t="inlineStr">
        <is>
          <t>mincom.gov.gh/mining-cadestre/</t>
        </is>
      </c>
      <c r="J42" s="8" t="inlineStr">
        <is>
          <t>Who holds the licence over this Ghanaian site, and is it in good standing?</t>
        </is>
      </c>
      <c r="K42" s="8" t="inlineStr">
        <is>
          <t>A companion Ghana Mining Repository (revenuedev.org) publishes licence and payment data in a more analysis-ready form.</t>
        </is>
      </c>
    </row>
    <row r="43" ht="58" customHeight="1">
      <c r="A43" s="8" t="inlineStr">
        <is>
          <t>SAMRAD (South Africa)</t>
        </is>
      </c>
      <c r="B43" s="8" t="inlineStr">
        <is>
          <t>Mining cadastre</t>
        </is>
      </c>
      <c r="C43" s="8" t="inlineStr">
        <is>
          <t>Dept. of Mineral &amp; Petroleum Resources</t>
        </is>
      </c>
      <c r="D43" s="8" t="inlineStr">
        <is>
          <t>South Africa</t>
        </is>
      </c>
      <c r="E43" s="8" t="inlineStr">
        <is>
          <t>Prospecting and mining right applications and status</t>
        </is>
      </c>
      <c r="F43" s="8" t="inlineStr">
        <is>
          <t>Nominally continuous</t>
        </is>
      </c>
      <c r="G43" s="8" t="inlineStr">
        <is>
          <t>Government portal</t>
        </is>
      </c>
      <c r="H43" s="8" t="inlineStr">
        <is>
          <t>Web portal (portal.samradonline.co.za)</t>
        </is>
      </c>
      <c r="I43" s="8" t="inlineStr">
        <is>
          <t>samradonline.co.za</t>
        </is>
      </c>
      <c r="J43" s="8" t="inlineStr">
        <is>
          <t>Who holds the right over this South African site?</t>
        </is>
      </c>
      <c r="K43" s="8" t="inlineStr">
        <is>
          <t>CAUTION: independent reporting through 2026 describes SAMRAD's records as unreliable and a cadastral-system replacement as delayed and repeatedly deferred. Treat title status from this source as a lead to confirm, not a fact to act on.</t>
        </is>
      </c>
    </row>
    <row r="44" ht="58" customHeight="1">
      <c r="A44" s="8" t="inlineStr">
        <is>
          <t>MinerbaOne (Indonesia)</t>
        </is>
      </c>
      <c r="B44" s="8" t="inlineStr">
        <is>
          <t>Mining cadastre / production reporting</t>
        </is>
      </c>
      <c r="C44" s="8" t="inlineStr">
        <is>
          <t>Kementerian ESDM (Indonesia)</t>
        </is>
      </c>
      <c r="D44" s="8" t="inlineStr">
        <is>
          <t>Indonesia</t>
        </is>
      </c>
      <c r="E44" s="8" t="inlineStr">
        <is>
          <t>Licence status, production and work-plan (RKAB) filings</t>
        </is>
      </c>
      <c r="F44" s="8" t="inlineStr">
        <is>
          <t>Continuous</t>
        </is>
      </c>
      <c r="G44" s="8" t="inlineStr">
        <is>
          <t>Government portal</t>
        </is>
      </c>
      <c r="H44" s="8" t="inlineStr">
        <is>
          <t>Web portal</t>
        </is>
      </c>
      <c r="I44" s="8" t="inlineStr">
        <is>
          <t>modi.esdm.go.id</t>
        </is>
      </c>
      <c r="J44" s="8" t="inlineStr">
        <is>
          <t>What has this Indonesian operation reported producing, and is its licence current?</t>
        </is>
      </c>
      <c r="K44" s="8" t="inlineStr">
        <is>
          <t>Formerly 'MODI' (Minerba One Data Indonesia); the ministry has been migrating filings to a successor system named MinerbaOne — confirm which endpoint is live before integrating.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40" customWidth="1" min="3" max="3"/>
    <col width="30" customWidth="1" min="4" max="4"/>
    <col width="26" customWidth="1" min="5" max="5"/>
    <col width="18" customWidth="1" min="6" max="6"/>
    <col width="62" customWidth="1" min="7" max="7"/>
  </cols>
  <sheetData>
    <row r="1">
      <c r="A1" s="5" t="inlineStr">
        <is>
          <t>Open-source components</t>
        </is>
      </c>
    </row>
    <row r="2">
      <c r="A2" s="6" t="inlineStr">
        <is>
          <t>Licences verified 19 Aug 2026. Pin to OSI-approved licences and keep a documented exit path for every dependency.</t>
        </is>
      </c>
    </row>
    <row r="4">
      <c r="A4" s="7" t="inlineStr">
        <is>
          <t>Component</t>
        </is>
      </c>
      <c r="B4" s="7" t="inlineStr">
        <is>
          <t>Layer</t>
        </is>
      </c>
      <c r="C4" s="7" t="inlineStr">
        <is>
          <t>Function</t>
        </is>
      </c>
      <c r="D4" s="7" t="inlineStr">
        <is>
          <t>Licence</t>
        </is>
      </c>
      <c r="E4" s="7" t="inlineStr">
        <is>
          <t>Governance</t>
        </is>
      </c>
      <c r="F4" s="7" t="inlineStr">
        <is>
          <t>Maturity</t>
        </is>
      </c>
      <c r="G4" s="7" t="inlineStr">
        <is>
          <t>Risk note</t>
        </is>
      </c>
    </row>
    <row r="5" ht="46" customHeight="1">
      <c r="A5" s="8" t="inlineStr">
        <is>
          <t>QGIS</t>
        </is>
      </c>
      <c r="B5" s="8" t="inlineStr">
        <is>
          <t>Desktop</t>
        </is>
      </c>
      <c r="C5" s="8" t="inlineStr">
        <is>
          <t>GIS, visualisation, manual verification</t>
        </is>
      </c>
      <c r="D5" s="8" t="inlineStr">
        <is>
          <t>GPL-2.0-or-later</t>
        </is>
      </c>
      <c r="E5" s="8" t="inlineStr">
        <is>
          <t>QGIS.org / OSGeo</t>
        </is>
      </c>
      <c r="F5" s="8" t="inlineStr">
        <is>
          <t>Production</t>
        </is>
      </c>
      <c r="G5" s="8" t="inlineStr">
        <is>
          <t>Recognised as a Digital Public Good by the DPG Alliance, Feb 2025 — a useful precedent for classifying this platform.</t>
        </is>
      </c>
    </row>
    <row r="6" ht="46" customHeight="1">
      <c r="A6" s="8" t="inlineStr">
        <is>
          <t>GDAL / OGR</t>
        </is>
      </c>
      <c r="B6" s="8" t="inlineStr">
        <is>
          <t>I/O</t>
        </is>
      </c>
      <c r="C6" s="8" t="inlineStr">
        <is>
          <t>Raster and vector formats, reprojection, warping</t>
        </is>
      </c>
      <c r="D6" s="8" t="inlineStr">
        <is>
          <t>MIT/X-style</t>
        </is>
      </c>
      <c r="E6" s="8" t="inlineStr">
        <is>
          <t>OSGeo</t>
        </is>
      </c>
      <c r="F6" s="8" t="inlineStr">
        <is>
          <t>Production</t>
        </is>
      </c>
      <c r="G6" s="8" t="inlineStr">
        <is>
          <t>The load-bearing dependency of the entire geospatial world. Safe.</t>
        </is>
      </c>
    </row>
    <row r="7" ht="46" customHeight="1">
      <c r="A7" s="8" t="inlineStr">
        <is>
          <t>PostgreSQL</t>
        </is>
      </c>
      <c r="B7" s="8" t="inlineStr">
        <is>
          <t>Store</t>
        </is>
      </c>
      <c r="C7" s="8" t="inlineStr">
        <is>
          <t>Relational database</t>
        </is>
      </c>
      <c r="D7" s="8" t="inlineStr">
        <is>
          <t>PostgreSQL Licence</t>
        </is>
      </c>
      <c r="E7" s="8" t="inlineStr">
        <is>
          <t>PostgreSQL Global Development Group</t>
        </is>
      </c>
      <c r="F7" s="8" t="inlineStr">
        <is>
          <t>Production</t>
        </is>
      </c>
      <c r="G7" s="8" t="inlineStr">
        <is>
          <t>Safe.</t>
        </is>
      </c>
    </row>
    <row r="8" ht="46" customHeight="1">
      <c r="A8" s="8" t="inlineStr">
        <is>
          <t>PostGIS</t>
        </is>
      </c>
      <c r="B8" s="8" t="inlineStr">
        <is>
          <t>Store</t>
        </is>
      </c>
      <c r="C8" s="8" t="inlineStr">
        <is>
          <t>Spatial types, indexes and operations</t>
        </is>
      </c>
      <c r="D8" s="8" t="inlineStr">
        <is>
          <t>GPL-2.0-or-later</t>
        </is>
      </c>
      <c r="E8" s="8" t="inlineStr">
        <is>
          <t>OSGeo</t>
        </is>
      </c>
      <c r="F8" s="8" t="inlineStr">
        <is>
          <t>Production</t>
        </is>
      </c>
      <c r="G8" s="8" t="inlineStr">
        <is>
          <t>Safe.</t>
        </is>
      </c>
    </row>
    <row r="9" ht="46" customHeight="1">
      <c r="A9" s="8" t="inlineStr">
        <is>
          <t>stac-fastapi + pgstac</t>
        </is>
      </c>
      <c r="B9" s="8" t="inlineStr">
        <is>
          <t>Store</t>
        </is>
      </c>
      <c r="C9" s="8" t="inlineStr">
        <is>
          <t>STAC API over PostgreSQL</t>
        </is>
      </c>
      <c r="D9" s="8" t="inlineStr">
        <is>
          <t>MIT</t>
        </is>
      </c>
      <c r="E9" s="8" t="inlineStr">
        <is>
          <t>Radiant Earth / community</t>
        </is>
      </c>
      <c r="F9" s="8" t="inlineStr">
        <is>
          <t>Production</t>
        </is>
      </c>
      <c r="G9" s="8" t="inlineStr">
        <is>
          <t>Same standard the upstream archives use.</t>
        </is>
      </c>
    </row>
    <row r="10" ht="46" customHeight="1">
      <c r="A10" s="8" t="inlineStr">
        <is>
          <t>pystac / pystac-client</t>
        </is>
      </c>
      <c r="B10" s="8" t="inlineStr">
        <is>
          <t>Acquisition</t>
        </is>
      </c>
      <c r="C10" s="8" t="inlineStr">
        <is>
          <t>STAC catalogue client</t>
        </is>
      </c>
      <c r="D10" s="8" t="inlineStr">
        <is>
          <t>Apache-2.0</t>
        </is>
      </c>
      <c r="E10" s="8" t="inlineStr">
        <is>
          <t>Radiant Earth</t>
        </is>
      </c>
      <c r="F10" s="8" t="inlineStr">
        <is>
          <t>Production</t>
        </is>
      </c>
      <c r="G10" s="8" t="inlineStr">
        <is>
          <t>—</t>
        </is>
      </c>
    </row>
    <row r="11" ht="46" customHeight="1">
      <c r="A11" s="8" t="inlineStr">
        <is>
          <t>Open Data Cube</t>
        </is>
      </c>
      <c r="B11" s="8" t="inlineStr">
        <is>
          <t>Store</t>
        </is>
      </c>
      <c r="C11" s="8" t="inlineStr">
        <is>
          <t>Indexed EO data cube</t>
        </is>
      </c>
      <c r="D11" s="8" t="inlineStr">
        <is>
          <t>Apache-2.0</t>
        </is>
      </c>
      <c r="E11" s="8" t="inlineStr">
        <is>
          <t>ODC / CEOS</t>
        </is>
      </c>
      <c r="F11" s="8" t="inlineStr">
        <is>
          <t>Production</t>
        </is>
      </c>
      <c r="G11" s="8" t="inlineStr">
        <is>
          <t>Several national deployments (Digital Earth Australia, Africa).</t>
        </is>
      </c>
    </row>
    <row r="12" ht="46" customHeight="1">
      <c r="A12" s="8" t="inlineStr">
        <is>
          <t>openEO</t>
        </is>
      </c>
      <c r="B12" s="8" t="inlineStr">
        <is>
          <t>Processing</t>
        </is>
      </c>
      <c r="C12" s="8" t="inlineStr">
        <is>
          <t>Federated EO processing API</t>
        </is>
      </c>
      <c r="D12" s="8" t="inlineStr">
        <is>
          <t>Apache-2.0</t>
        </is>
      </c>
      <c r="E12" s="8" t="inlineStr">
        <is>
          <t>openEO / ESA</t>
        </is>
      </c>
      <c r="F12" s="8" t="inlineStr">
        <is>
          <t>Production</t>
        </is>
      </c>
      <c r="G12" s="8" t="inlineStr">
        <is>
          <t>Available on CDSE within the free-tier credit allocation.</t>
        </is>
      </c>
    </row>
    <row r="13" ht="46" customHeight="1">
      <c r="A13" s="8" t="inlineStr">
        <is>
          <t>eodag</t>
        </is>
      </c>
      <c r="B13" s="8" t="inlineStr">
        <is>
          <t>Acquisition</t>
        </is>
      </c>
      <c r="C13" s="8" t="inlineStr">
        <is>
          <t>Multi-provider archive access</t>
        </is>
      </c>
      <c r="D13" s="8" t="inlineStr">
        <is>
          <t>Apache-2.0</t>
        </is>
      </c>
      <c r="E13" s="8" t="inlineStr">
        <is>
          <t>CS Group</t>
        </is>
      </c>
      <c r="F13" s="8" t="inlineStr">
        <is>
          <t>Production</t>
        </is>
      </c>
      <c r="G13" s="8" t="inlineStr">
        <is>
          <t>Useful when a deployment must span several archives.</t>
        </is>
      </c>
    </row>
    <row r="14" ht="46" customHeight="1">
      <c r="A14" s="8" t="inlineStr">
        <is>
          <t>rasterio / rioxarray</t>
        </is>
      </c>
      <c r="B14" s="8" t="inlineStr">
        <is>
          <t>Processing</t>
        </is>
      </c>
      <c r="C14" s="8" t="inlineStr">
        <is>
          <t>Raster read/write, warping, xarray bridge</t>
        </is>
      </c>
      <c r="D14" s="8" t="inlineStr">
        <is>
          <t>BSD-3 / Apache-2.0</t>
        </is>
      </c>
      <c r="E14" s="8" t="inlineStr">
        <is>
          <t>Mapbox → community</t>
        </is>
      </c>
      <c r="F14" s="8" t="inlineStr">
        <is>
          <t>Production</t>
        </is>
      </c>
      <c r="G14" s="8" t="inlineStr">
        <is>
          <t>—</t>
        </is>
      </c>
    </row>
    <row r="15" ht="46" customHeight="1">
      <c r="A15" s="8" t="inlineStr">
        <is>
          <t>xarray / dask</t>
        </is>
      </c>
      <c r="B15" s="8" t="inlineStr">
        <is>
          <t>Processing</t>
        </is>
      </c>
      <c r="C15" s="8" t="inlineStr">
        <is>
          <t>Labelled arrays; out-of-core parallelism</t>
        </is>
      </c>
      <c r="D15" s="8" t="inlineStr">
        <is>
          <t>Apache-2.0 / BSD-3</t>
        </is>
      </c>
      <c r="E15" s="8" t="inlineStr">
        <is>
          <t>NumFOCUS</t>
        </is>
      </c>
      <c r="F15" s="8" t="inlineStr">
        <is>
          <t>Production</t>
        </is>
      </c>
      <c r="G15" s="8" t="inlineStr">
        <is>
          <t>—</t>
        </is>
      </c>
    </row>
    <row r="16" ht="46" customHeight="1">
      <c r="A16" s="8" t="inlineStr">
        <is>
          <t>numpy / scipy</t>
        </is>
      </c>
      <c r="B16" s="8" t="inlineStr">
        <is>
          <t>Processing</t>
        </is>
      </c>
      <c r="C16" s="8" t="inlineStr">
        <is>
          <t>Numerics, morphology, statistics</t>
        </is>
      </c>
      <c r="D16" s="8" t="inlineStr">
        <is>
          <t>BSD-3</t>
        </is>
      </c>
      <c r="E16" s="8" t="inlineStr">
        <is>
          <t>NumFOCUS</t>
        </is>
      </c>
      <c r="F16" s="8" t="inlineStr">
        <is>
          <t>Production</t>
        </is>
      </c>
      <c r="G16" s="8" t="inlineStr">
        <is>
          <t>numpy is the only mandatory dependency of the core.</t>
        </is>
      </c>
    </row>
    <row r="17" ht="46" customHeight="1">
      <c r="A17" s="8" t="inlineStr">
        <is>
          <t>scikit-image</t>
        </is>
      </c>
      <c r="B17" s="8" t="inlineStr">
        <is>
          <t>Processing</t>
        </is>
      </c>
      <c r="C17" s="8" t="inlineStr">
        <is>
          <t>Segmentation, morphology, measurement</t>
        </is>
      </c>
      <c r="D17" s="8" t="inlineStr">
        <is>
          <t>BSD-3</t>
        </is>
      </c>
      <c r="E17" s="8" t="inlineStr">
        <is>
          <t>NumFOCUS</t>
        </is>
      </c>
      <c r="F17" s="8" t="inlineStr">
        <is>
          <t>Production</t>
        </is>
      </c>
      <c r="G17" s="8" t="inlineStr">
        <is>
          <t>—</t>
        </is>
      </c>
    </row>
    <row r="18" ht="46" customHeight="1">
      <c r="A18" s="8" t="inlineStr">
        <is>
          <t>scikit-learn</t>
        </is>
      </c>
      <c r="B18" s="8" t="inlineStr">
        <is>
          <t>Analysis</t>
        </is>
      </c>
      <c r="C18" s="8" t="inlineStr">
        <is>
          <t>Classical ML for classification and clustering</t>
        </is>
      </c>
      <c r="D18" s="8" t="inlineStr">
        <is>
          <t>BSD-3</t>
        </is>
      </c>
      <c r="E18" s="8" t="inlineStr">
        <is>
          <t>NumFOCUS</t>
        </is>
      </c>
      <c r="F18" s="8" t="inlineStr">
        <is>
          <t>Production</t>
        </is>
      </c>
      <c r="G18" s="8" t="inlineStr">
        <is>
          <t>—</t>
        </is>
      </c>
    </row>
    <row r="19" ht="46" customHeight="1">
      <c r="A19" s="8" t="inlineStr">
        <is>
          <t>TorchGeo</t>
        </is>
      </c>
      <c r="B19" s="8" t="inlineStr">
        <is>
          <t>Analysis</t>
        </is>
      </c>
      <c r="C19" s="8" t="inlineStr">
        <is>
          <t>Geospatial deep learning datasets and models</t>
        </is>
      </c>
      <c r="D19" s="8" t="inlineStr">
        <is>
          <t>MIT</t>
        </is>
      </c>
      <c r="E19" s="8" t="inlineStr">
        <is>
          <t>Microsoft</t>
        </is>
      </c>
      <c r="F19" s="8" t="inlineStr">
        <is>
          <t>Production</t>
        </is>
      </c>
      <c r="G19" s="8" t="inlineStr">
        <is>
          <t>The path for a learned second-opinion detector.</t>
        </is>
      </c>
    </row>
    <row r="20" ht="46" customHeight="1">
      <c r="A20" s="8" t="inlineStr">
        <is>
          <t>segment-geospatial / leafmap</t>
        </is>
      </c>
      <c r="B20" s="8" t="inlineStr">
        <is>
          <t>Analysis</t>
        </is>
      </c>
      <c r="C20" s="8" t="inlineStr">
        <is>
          <t>SAM-based segmentation; notebooks</t>
        </is>
      </c>
      <c r="D20" s="8" t="inlineStr">
        <is>
          <t>MIT</t>
        </is>
      </c>
      <c r="E20" s="8" t="inlineStr">
        <is>
          <t>Open Geospatial Solutions</t>
        </is>
      </c>
      <c r="F20" s="8" t="inlineStr">
        <is>
          <t>Production</t>
        </is>
      </c>
      <c r="G20" s="8" t="inlineStr">
        <is>
          <t>Used by Amazon Mining Watch for scar masks.</t>
        </is>
      </c>
    </row>
    <row r="21" ht="46" customHeight="1">
      <c r="A21" s="8" t="inlineStr">
        <is>
          <t>ESA SNAP</t>
        </is>
      </c>
      <c r="B21" s="8" t="inlineStr">
        <is>
          <t>SAR</t>
        </is>
      </c>
      <c r="C21" s="8" t="inlineStr">
        <is>
          <t>Sentinel-1 preprocessing, interferometry</t>
        </is>
      </c>
      <c r="D21" s="8" t="inlineStr">
        <is>
          <t>GPL-3.0</t>
        </is>
      </c>
      <c r="E21" s="8" t="inlineStr">
        <is>
          <t>ESA</t>
        </is>
      </c>
      <c r="F21" s="8" t="inlineStr">
        <is>
          <t>Production</t>
        </is>
      </c>
      <c r="G21" s="8" t="inlineStr">
        <is>
          <t>Heavy. Java. Works.</t>
        </is>
      </c>
    </row>
    <row r="22" ht="46" customHeight="1">
      <c r="A22" s="8" t="inlineStr">
        <is>
          <t>ISCE2</t>
        </is>
      </c>
      <c r="B22" s="8" t="inlineStr">
        <is>
          <t>SAR</t>
        </is>
      </c>
      <c r="C22" s="8" t="inlineStr">
        <is>
          <t>Interferogram generation</t>
        </is>
      </c>
      <c r="D22" s="8" t="inlineStr">
        <is>
          <t>Apache-2.0</t>
        </is>
      </c>
      <c r="E22" s="8" t="inlineStr">
        <is>
          <t>NASA JPL</t>
        </is>
      </c>
      <c r="F22" s="8" t="inlineStr">
        <is>
          <t>Production</t>
        </is>
      </c>
      <c r="G22" s="8" t="inlineStr">
        <is>
          <t>The other half of the non-European InSAR path.</t>
        </is>
      </c>
    </row>
    <row r="23" ht="46" customHeight="1">
      <c r="A23" s="8" t="inlineStr">
        <is>
          <t>MintPy</t>
        </is>
      </c>
      <c r="B23" s="8" t="inlineStr">
        <is>
          <t>SAR</t>
        </is>
      </c>
      <c r="C23" s="8" t="inlineStr">
        <is>
          <t>InSAR time-series inversion (SBAS)</t>
        </is>
      </c>
      <c r="D23" s="8" t="inlineStr">
        <is>
          <t>GPL-3.0</t>
        </is>
      </c>
      <c r="E23" s="8" t="inlineStr">
        <is>
          <t>Academic community</t>
        </is>
      </c>
      <c r="F23" s="8" t="inlineStr">
        <is>
          <t>Production</t>
        </is>
      </c>
      <c r="G23" s="8" t="inlineStr">
        <is>
          <t>Pairs with ISCE2 or SNAP.</t>
        </is>
      </c>
    </row>
    <row r="24" ht="46" customHeight="1">
      <c r="A24" s="8" t="inlineStr">
        <is>
          <t>LiCSBAS</t>
        </is>
      </c>
      <c r="B24" s="8" t="inlineStr">
        <is>
          <t>SAR</t>
        </is>
      </c>
      <c r="C24" s="8" t="inlineStr">
        <is>
          <t>InSAR time series over LiCSAR products</t>
        </is>
      </c>
      <c r="D24" s="8" t="inlineStr">
        <is>
          <t>GPL-3.0</t>
        </is>
      </c>
      <c r="E24" s="8" t="inlineStr">
        <is>
          <t>COMET</t>
        </is>
      </c>
      <c r="F24" s="8" t="inlineStr">
        <is>
          <t>Production</t>
        </is>
      </c>
      <c r="G24" s="8" t="inlineStr">
        <is>
          <t>Lower barrier to entry than MintPy where LiCSAR covers the area.</t>
        </is>
      </c>
    </row>
    <row r="25" ht="46" customHeight="1">
      <c r="A25" s="8" t="inlineStr">
        <is>
          <t>Orfeo ToolBox</t>
        </is>
      </c>
      <c r="B25" s="8" t="inlineStr">
        <is>
          <t>Processing</t>
        </is>
      </c>
      <c r="C25" s="8" t="inlineStr">
        <is>
          <t>Remote-sensing image processing</t>
        </is>
      </c>
      <c r="D25" s="8" t="inlineStr">
        <is>
          <t>Apache-2.0</t>
        </is>
      </c>
      <c r="E25" s="8" t="inlineStr">
        <is>
          <t>CNES</t>
        </is>
      </c>
      <c r="F25" s="8" t="inlineStr">
        <is>
          <t>Production</t>
        </is>
      </c>
      <c r="G25" s="8" t="inlineStr">
        <is>
          <t>—</t>
        </is>
      </c>
    </row>
    <row r="26" ht="46" customHeight="1">
      <c r="A26" s="8" t="inlineStr">
        <is>
          <t>TiTiler</t>
        </is>
      </c>
      <c r="B26" s="8" t="inlineStr">
        <is>
          <t>Services</t>
        </is>
      </c>
      <c r="C26" s="8" t="inlineStr">
        <is>
          <t>Dynamic tiling from COGs</t>
        </is>
      </c>
      <c r="D26" s="8" t="inlineStr">
        <is>
          <t>MIT</t>
        </is>
      </c>
      <c r="E26" s="8" t="inlineStr">
        <is>
          <t>Development Seed</t>
        </is>
      </c>
      <c r="F26" s="8" t="inlineStr">
        <is>
          <t>Production</t>
        </is>
      </c>
      <c r="G26" s="8" t="inlineStr">
        <is>
          <t>—</t>
        </is>
      </c>
    </row>
    <row r="27" ht="46" customHeight="1">
      <c r="A27" s="8" t="inlineStr">
        <is>
          <t>GeoServer</t>
        </is>
      </c>
      <c r="B27" s="8" t="inlineStr">
        <is>
          <t>Services</t>
        </is>
      </c>
      <c r="C27" s="8" t="inlineStr">
        <is>
          <t>OGC WMS/WFS/WCS</t>
        </is>
      </c>
      <c r="D27" s="8" t="inlineStr">
        <is>
          <t>GPL-2.0</t>
        </is>
      </c>
      <c r="E27" s="8" t="inlineStr">
        <is>
          <t>OSGeo</t>
        </is>
      </c>
      <c r="F27" s="8" t="inlineStr">
        <is>
          <t>Production</t>
        </is>
      </c>
      <c r="G27" s="8" t="inlineStr">
        <is>
          <t>—</t>
        </is>
      </c>
    </row>
    <row r="28" ht="46" customHeight="1">
      <c r="A28" s="8" t="inlineStr">
        <is>
          <t>pygeoapi</t>
        </is>
      </c>
      <c r="B28" s="8" t="inlineStr">
        <is>
          <t>Services</t>
        </is>
      </c>
      <c r="C28" s="8" t="inlineStr">
        <is>
          <t>OGC API Features / Records / Processes</t>
        </is>
      </c>
      <c r="D28" s="8" t="inlineStr">
        <is>
          <t>MIT</t>
        </is>
      </c>
      <c r="E28" s="8" t="inlineStr">
        <is>
          <t>OSGeo</t>
        </is>
      </c>
      <c r="F28" s="8" t="inlineStr">
        <is>
          <t>Production</t>
        </is>
      </c>
      <c r="G28" s="8" t="inlineStr">
        <is>
          <t>Lighter and more modern than GeoServer for API-only needs.</t>
        </is>
      </c>
    </row>
    <row r="29" ht="46" customHeight="1">
      <c r="A29" s="8" t="inlineStr">
        <is>
          <t>GeoNode</t>
        </is>
      </c>
      <c r="B29" s="8" t="inlineStr">
        <is>
          <t>Portal</t>
        </is>
      </c>
      <c r="C29" s="8" t="inlineStr">
        <is>
          <t>Geospatial catalogue and portal</t>
        </is>
      </c>
      <c r="D29" s="8" t="inlineStr">
        <is>
          <t>GPL-3.0</t>
        </is>
      </c>
      <c r="E29" s="8" t="inlineStr">
        <is>
          <t>OSGeo</t>
        </is>
      </c>
      <c r="F29" s="8" t="inlineStr">
        <is>
          <t>Production</t>
        </is>
      </c>
      <c r="G29" s="8" t="inlineStr">
        <is>
          <t>Fastest route to a public portal.</t>
        </is>
      </c>
    </row>
    <row r="30" ht="46" customHeight="1">
      <c r="A30" s="8" t="inlineStr">
        <is>
          <t>CKAN</t>
        </is>
      </c>
      <c r="B30" s="8" t="inlineStr">
        <is>
          <t>Portal</t>
        </is>
      </c>
      <c r="C30" s="8" t="inlineStr">
        <is>
          <t>Open-data catalogue</t>
        </is>
      </c>
      <c r="D30" s="8" t="inlineStr">
        <is>
          <t>AGPL-3.0</t>
        </is>
      </c>
      <c r="E30" s="8" t="inlineStr">
        <is>
          <t>OKFN</t>
        </is>
      </c>
      <c r="F30" s="8" t="inlineStr">
        <is>
          <t>Production</t>
        </is>
      </c>
      <c r="G30" s="8" t="inlineStr">
        <is>
          <t>AGPL: procurement implications if modified and exposed as a service.</t>
        </is>
      </c>
    </row>
    <row r="31" ht="46" customHeight="1">
      <c r="A31" s="8" t="inlineStr">
        <is>
          <t>MapLibre GL JS</t>
        </is>
      </c>
      <c r="B31" s="8" t="inlineStr">
        <is>
          <t>Frontend</t>
        </is>
      </c>
      <c r="C31" s="8" t="inlineStr">
        <is>
          <t>Vector web maps</t>
        </is>
      </c>
      <c r="D31" s="8" t="inlineStr">
        <is>
          <t>BSD-3</t>
        </is>
      </c>
      <c r="E31" s="8" t="inlineStr">
        <is>
          <t>MapLibre / Linux Foundation</t>
        </is>
      </c>
      <c r="F31" s="8" t="inlineStr">
        <is>
          <t>Production</t>
        </is>
      </c>
      <c r="G31" s="8" t="inlineStr">
        <is>
          <t>The post-Mapbox fork; safe.</t>
        </is>
      </c>
    </row>
    <row r="32" ht="46" customHeight="1">
      <c r="A32" s="8" t="inlineStr">
        <is>
          <t>deck.gl</t>
        </is>
      </c>
      <c r="B32" s="8" t="inlineStr">
        <is>
          <t>Frontend</t>
        </is>
      </c>
      <c r="C32" s="8" t="inlineStr">
        <is>
          <t>Large-scale WebGL data overlays</t>
        </is>
      </c>
      <c r="D32" s="8" t="inlineStr">
        <is>
          <t>MIT</t>
        </is>
      </c>
      <c r="E32" s="8" t="inlineStr">
        <is>
          <t>OpenJS Foundation</t>
        </is>
      </c>
      <c r="F32" s="8" t="inlineStr">
        <is>
          <t>Production</t>
        </is>
      </c>
      <c r="G32" s="8" t="inlineStr">
        <is>
          <t>—</t>
        </is>
      </c>
    </row>
    <row r="33" ht="46" customHeight="1">
      <c r="A33" s="8" t="inlineStr">
        <is>
          <t>Apache Airflow</t>
        </is>
      </c>
      <c r="B33" s="8" t="inlineStr">
        <is>
          <t>Orchestration</t>
        </is>
      </c>
      <c r="C33" s="8" t="inlineStr">
        <is>
          <t>Scheduled pipeline execution</t>
        </is>
      </c>
      <c r="D33" s="8" t="inlineStr">
        <is>
          <t>Apache-2.0</t>
        </is>
      </c>
      <c r="E33" s="8" t="inlineStr">
        <is>
          <t>ASF</t>
        </is>
      </c>
      <c r="F33" s="8" t="inlineStr">
        <is>
          <t>Production</t>
        </is>
      </c>
      <c r="G33" s="8" t="inlineStr">
        <is>
          <t>One DAG per site per cadence.</t>
        </is>
      </c>
    </row>
    <row r="34" ht="46" customHeight="1">
      <c r="A34" s="8" t="inlineStr">
        <is>
          <t>Prefect</t>
        </is>
      </c>
      <c r="B34" s="8" t="inlineStr">
        <is>
          <t>Orchestration</t>
        </is>
      </c>
      <c r="C34" s="8" t="inlineStr">
        <is>
          <t>Alternative orchestrator</t>
        </is>
      </c>
      <c r="D34" s="8" t="inlineStr">
        <is>
          <t>Apache-2.0</t>
        </is>
      </c>
      <c r="E34" s="8" t="inlineStr">
        <is>
          <t>Prefect Technologies</t>
        </is>
      </c>
      <c r="F34" s="8" t="inlineStr">
        <is>
          <t>Production</t>
        </is>
      </c>
      <c r="G34" s="8" t="inlineStr">
        <is>
          <t>Lighter for small deployments.</t>
        </is>
      </c>
    </row>
    <row r="35" ht="46" customHeight="1">
      <c r="A35" s="8" t="inlineStr">
        <is>
          <t>DuckDB</t>
        </is>
      </c>
      <c r="B35" s="8" t="inlineStr">
        <is>
          <t>Analytics</t>
        </is>
      </c>
      <c r="C35" s="8" t="inlineStr">
        <is>
          <t>In-process analytical SQL, GeoParquet reads</t>
        </is>
      </c>
      <c r="D35" s="8" t="inlineStr">
        <is>
          <t>MIT</t>
        </is>
      </c>
      <c r="E35" s="8" t="inlineStr">
        <is>
          <t>DuckDB Foundation</t>
        </is>
      </c>
      <c r="F35" s="8" t="inlineStr">
        <is>
          <t>Production</t>
        </is>
      </c>
      <c r="G35" s="8" t="inlineStr">
        <is>
          <t>Findings tables are small; no cluster needed.</t>
        </is>
      </c>
    </row>
    <row r="36" ht="46" customHeight="1">
      <c r="A36" s="8" t="inlineStr">
        <is>
          <t>GeoParquet</t>
        </is>
      </c>
      <c r="B36" s="8" t="inlineStr">
        <is>
          <t>Format</t>
        </is>
      </c>
      <c r="C36" s="8" t="inlineStr">
        <is>
          <t>Columnar geospatial storage</t>
        </is>
      </c>
      <c r="D36" s="8" t="inlineStr">
        <is>
          <t>Apache-2.0</t>
        </is>
      </c>
      <c r="E36" s="8" t="inlineStr">
        <is>
          <t>OGC</t>
        </is>
      </c>
      <c r="F36" s="8" t="inlineStr">
        <is>
          <t>Production</t>
        </is>
      </c>
      <c r="G36" s="8" t="inlineStr">
        <is>
          <t>—</t>
        </is>
      </c>
    </row>
    <row r="37" ht="46" customHeight="1">
      <c r="A37" s="8" t="inlineStr">
        <is>
          <t>Cloud-Optimised GeoTIFF</t>
        </is>
      </c>
      <c r="B37" s="8" t="inlineStr">
        <is>
          <t>Format</t>
        </is>
      </c>
      <c r="C37" s="8" t="inlineStr">
        <is>
          <t>Range-request raster storage</t>
        </is>
      </c>
      <c r="D37" s="8" t="inlineStr">
        <is>
          <t>Open spec</t>
        </is>
      </c>
      <c r="E37" s="8" t="inlineStr">
        <is>
          <t>OGC</t>
        </is>
      </c>
      <c r="F37" s="8" t="inlineStr">
        <is>
          <t>Production</t>
        </is>
      </c>
      <c r="G37" s="8" t="inlineStr">
        <is>
          <t>What the upstream archives already serve.</t>
        </is>
      </c>
    </row>
    <row r="38" ht="46" customHeight="1">
      <c r="A38" s="8" t="inlineStr">
        <is>
          <t>Apache Superset</t>
        </is>
      </c>
      <c r="B38" s="8" t="inlineStr">
        <is>
          <t>Analytics</t>
        </is>
      </c>
      <c r="C38" s="8" t="inlineStr">
        <is>
          <t>BI dashboards</t>
        </is>
      </c>
      <c r="D38" s="8" t="inlineStr">
        <is>
          <t>Apache-2.0</t>
        </is>
      </c>
      <c r="E38" s="8" t="inlineStr">
        <is>
          <t>ASF</t>
        </is>
      </c>
      <c r="F38" s="8" t="inlineStr">
        <is>
          <t>Production</t>
        </is>
      </c>
      <c r="G38" s="8" t="inlineStr">
        <is>
          <t>—</t>
        </is>
      </c>
    </row>
    <row r="39" ht="46" customHeight="1">
      <c r="A39" s="8" t="inlineStr">
        <is>
          <t>Keycloak</t>
        </is>
      </c>
      <c r="B39" s="8" t="inlineStr">
        <is>
          <t>Identity</t>
        </is>
      </c>
      <c r="C39" s="8" t="inlineStr">
        <is>
          <t>Authentication, roles, audit</t>
        </is>
      </c>
      <c r="D39" s="8" t="inlineStr">
        <is>
          <t>Apache-2.0</t>
        </is>
      </c>
      <c r="E39" s="8" t="inlineStr">
        <is>
          <t>CNCF / Red Hat</t>
        </is>
      </c>
      <c r="F39" s="8" t="inlineStr">
        <is>
          <t>Production</t>
        </is>
      </c>
      <c r="G39" s="8" t="inlineStr">
        <is>
          <t>Carries the role model the case state machine checks.</t>
        </is>
      </c>
    </row>
    <row r="40" ht="46" customHeight="1">
      <c r="A40" s="8" t="inlineStr">
        <is>
          <t>SeaweedFS</t>
        </is>
      </c>
      <c r="B40" s="8" t="inlineStr">
        <is>
          <t>Store</t>
        </is>
      </c>
      <c r="C40" s="8" t="inlineStr">
        <is>
          <t>S3-compatible object storage</t>
        </is>
      </c>
      <c r="D40" s="8" t="inlineStr">
        <is>
          <t>Apache-2.0</t>
        </is>
      </c>
      <c r="E40" s="8" t="inlineStr">
        <is>
          <t>Community</t>
        </is>
      </c>
      <c r="F40" s="8" t="inlineStr">
        <is>
          <t>Production</t>
        </is>
      </c>
      <c r="G40" s="8" t="inlineStr">
        <is>
          <t>RECOMMENDED replacement for MinIO.</t>
        </is>
      </c>
    </row>
    <row r="41" ht="46" customHeight="1">
      <c r="A41" s="8" t="inlineStr">
        <is>
          <t>Garage</t>
        </is>
      </c>
      <c r="B41" s="8" t="inlineStr">
        <is>
          <t>Store</t>
        </is>
      </c>
      <c r="C41" s="8" t="inlineStr">
        <is>
          <t>S3-compatible object storage</t>
        </is>
      </c>
      <c r="D41" s="8" t="inlineStr">
        <is>
          <t>AGPL-3.0</t>
        </is>
      </c>
      <c r="E41" s="8" t="inlineStr">
        <is>
          <t>Deuxfleurs</t>
        </is>
      </c>
      <c r="F41" s="8" t="inlineStr">
        <is>
          <t>Production</t>
        </is>
      </c>
      <c r="G41" s="8" t="inlineStr">
        <is>
          <t>Lightweight; AGPL implications if modified and exposed.</t>
        </is>
      </c>
    </row>
    <row r="42" ht="46" customHeight="1">
      <c r="A42" s="8" t="inlineStr">
        <is>
          <t>Ceph RGW</t>
        </is>
      </c>
      <c r="B42" s="8" t="inlineStr">
        <is>
          <t>Store</t>
        </is>
      </c>
      <c r="C42" s="8" t="inlineStr">
        <is>
          <t>S3-compatible object storage at scale</t>
        </is>
      </c>
      <c r="D42" s="8" t="inlineStr">
        <is>
          <t>LGPL-2.1/3.0</t>
        </is>
      </c>
      <c r="E42" s="8" t="inlineStr">
        <is>
          <t>Ceph Foundation</t>
        </is>
      </c>
      <c r="F42" s="8" t="inlineStr">
        <is>
          <t>Production</t>
        </is>
      </c>
      <c r="G42" s="8" t="inlineStr">
        <is>
          <t>For Tier-3 scale.</t>
        </is>
      </c>
    </row>
    <row r="43" ht="46" customHeight="1">
      <c r="A43" s="8" t="inlineStr">
        <is>
          <t>MinIO</t>
        </is>
      </c>
      <c r="B43" s="8" t="inlineStr">
        <is>
          <t>Store</t>
        </is>
      </c>
      <c r="C43" s="8" t="inlineStr">
        <is>
          <t>S3-compatible object storage</t>
        </is>
      </c>
      <c r="D43" s="8" t="inlineStr">
        <is>
          <t>AGPL-3.0 (community edition archived)</t>
        </is>
      </c>
      <c r="E43" s="8" t="inlineStr">
        <is>
          <t>MinIO Inc.</t>
        </is>
      </c>
      <c r="F43" s="8" t="inlineStr">
        <is>
          <t>DO NOT ADOPT</t>
        </is>
      </c>
      <c r="G43" s="8" t="inlineStr">
        <is>
          <t>Community edition entered maintenance mode and was archived over 2025-26 after features were stripped from the AGPL build. Any architecture that assumed MinIO now has a problem.</t>
        </is>
      </c>
    </row>
    <row r="44" ht="46" customHeight="1">
      <c r="A44" s="8" t="inlineStr">
        <is>
          <t>Grafana</t>
        </is>
      </c>
      <c r="B44" s="8" t="inlineStr">
        <is>
          <t>Monitoring</t>
        </is>
      </c>
      <c r="C44" s="8" t="inlineStr">
        <is>
          <t>Operational dashboards</t>
        </is>
      </c>
      <c r="D44" s="8" t="inlineStr">
        <is>
          <t>AGPL-3.0</t>
        </is>
      </c>
      <c r="E44" s="8" t="inlineStr">
        <is>
          <t>Grafana Labs</t>
        </is>
      </c>
      <c r="F44" s="8" t="inlineStr">
        <is>
          <t>Production</t>
        </is>
      </c>
      <c r="G44" s="8" t="inlineStr">
        <is>
          <t>Fine to run; AGPL implications if modified and exposed as a service.</t>
        </is>
      </c>
    </row>
    <row r="45" ht="46" customHeight="1">
      <c r="A45" s="8" t="inlineStr">
        <is>
          <t>Sen2Cor</t>
        </is>
      </c>
      <c r="B45" s="8" t="inlineStr">
        <is>
          <t>Processing</t>
        </is>
      </c>
      <c r="C45" s="8" t="inlineStr">
        <is>
          <t>Sentinel-2 L1C→L2A atmospheric correction</t>
        </is>
      </c>
      <c r="D45" s="8" t="inlineStr">
        <is>
          <t>ESA free-to-use, NOT OSI-approved</t>
        </is>
      </c>
      <c r="E45" s="8" t="inlineStr">
        <is>
          <t>ESA</t>
        </is>
      </c>
      <c r="F45" s="8" t="inlineStr">
        <is>
          <t>Production</t>
        </is>
      </c>
      <c r="G45" s="8" t="inlineStr">
        <is>
          <t>Prefer consuming L2A products directly rather than depending on local Sen2Cor.</t>
        </is>
      </c>
    </row>
    <row r="46" ht="46" customHeight="1">
      <c r="A46" s="8" t="inlineStr">
        <is>
          <t>GemPy</t>
        </is>
      </c>
      <c r="B46" s="8" t="inlineStr">
        <is>
          <t>Geoscience</t>
        </is>
      </c>
      <c r="C46" s="8" t="inlineStr">
        <is>
          <t>Implicit 3-D geological modelling</t>
        </is>
      </c>
      <c r="D46" s="8" t="inlineStr">
        <is>
          <t>EUPL / open</t>
        </is>
      </c>
      <c r="E46" s="8" t="inlineStr">
        <is>
          <t>Academic community</t>
        </is>
      </c>
      <c r="F46" s="8" t="inlineStr">
        <is>
          <t>Research to production</t>
        </is>
      </c>
      <c r="G46" s="8" t="inlineStr">
        <is>
          <t>The nearest open equivalent to Leapfrog. Not a mine-planning system, and the public mirror does not need one.</t>
        </is>
      </c>
    </row>
    <row r="47" ht="46" customHeight="1">
      <c r="A47" s="8" t="inlineStr">
        <is>
          <t>mining-detector (Earth Genome)</t>
        </is>
      </c>
      <c r="B47" s="8" t="inlineStr">
        <is>
          <t>Analysis</t>
        </is>
      </c>
      <c r="C47" s="8" t="inlineStr">
        <is>
          <t>CNN ensemble for artisanal mine detection from Sentinel-2</t>
        </is>
      </c>
      <c r="D47" s="8" t="inlineStr">
        <is>
          <t>MIT (code); CC BY 4.0 (data)</t>
        </is>
      </c>
      <c r="E47" s="8" t="inlineStr">
        <is>
          <t>Earth Genome / Earthrise Media</t>
        </is>
      </c>
      <c r="F47" s="8" t="inlineStr">
        <is>
          <t>Production</t>
        </is>
      </c>
      <c r="G47" s="8" t="inlineStr">
        <is>
          <t>99.4% specificity / 89.5% sensitivity on a Venezuela geographic holdout. The obvious second-opinion detector.</t>
        </is>
      </c>
    </row>
    <row r="48" ht="46" customHeight="1">
      <c r="A48" s="8" t="inlineStr">
        <is>
          <t>GeoPandas</t>
        </is>
      </c>
      <c r="B48" s="8" t="inlineStr">
        <is>
          <t>Processing</t>
        </is>
      </c>
      <c r="C48" s="8" t="inlineStr">
        <is>
          <t>Vector geospatial data frames over shapely/pyproj</t>
        </is>
      </c>
      <c r="D48" s="8" t="inlineStr">
        <is>
          <t>BSD-3</t>
        </is>
      </c>
      <c r="E48" s="8" t="inlineStr">
        <is>
          <t>GeoPandas community</t>
        </is>
      </c>
      <c r="F48" s="8" t="inlineStr">
        <is>
          <t>Production</t>
        </is>
      </c>
      <c r="G48" s="8" t="inlineStr">
        <is>
          <t>Ties shapely, pyproj and fiona together; an optional accelerator, not required by the core library.</t>
        </is>
      </c>
    </row>
    <row r="49" ht="46" customHeight="1">
      <c r="A49" s="8" t="inlineStr">
        <is>
          <t>QField</t>
        </is>
      </c>
      <c r="B49" s="8" t="inlineStr">
        <is>
          <t>Field</t>
        </is>
      </c>
      <c r="C49" s="8" t="inlineStr">
        <is>
          <t>Mobile QGIS for offline field data collection</t>
        </is>
      </c>
      <c r="D49" s="8" t="inlineStr">
        <is>
          <t>GPL-2.0-or-later</t>
        </is>
      </c>
      <c r="E49" s="8" t="inlineStr">
        <is>
          <t>OPENGIS.ch</t>
        </is>
      </c>
      <c r="F49" s="8" t="inlineStr">
        <is>
          <t>Production</t>
        </is>
      </c>
      <c r="G49" s="8" t="inlineStr">
        <is>
          <t>The natural way for an inspector to record a ground-truth visit and sync it back to the case register.</t>
        </is>
      </c>
    </row>
    <row r="50" ht="46" customHeight="1">
      <c r="A50" s="8" t="inlineStr">
        <is>
          <t>WhiteboxTools</t>
        </is>
      </c>
      <c r="B50" s="8" t="inlineStr">
        <is>
          <t>Processing</t>
        </is>
      </c>
      <c r="C50" s="8" t="inlineStr">
        <is>
          <t>Geomorphometry and hydrological DEM analysis</t>
        </is>
      </c>
      <c r="D50" s="8" t="inlineStr">
        <is>
          <t>MIT (core engine)</t>
        </is>
      </c>
      <c r="E50" s="8" t="inlineStr">
        <is>
          <t>Whitebox Geospatial / Dr. John Lindsay</t>
        </is>
      </c>
      <c r="F50" s="8" t="inlineStr">
        <is>
          <t>Production</t>
        </is>
      </c>
      <c r="G50" s="8" t="inlineStr">
        <is>
          <t>A lighter alternative to GRASS/SAGA for terrain-derivative work on the Copernicus DEM.</t>
        </is>
      </c>
    </row>
    <row r="51" ht="46" customHeight="1">
      <c r="A51" s="8" t="inlineStr">
        <is>
          <t>SAGA GIS</t>
        </is>
      </c>
      <c r="B51" s="8" t="inlineStr">
        <is>
          <t>Processing</t>
        </is>
      </c>
      <c r="C51" s="8" t="inlineStr">
        <is>
          <t>Terrain analysis and general geoprocessing</t>
        </is>
      </c>
      <c r="D51" s="8" t="inlineStr">
        <is>
          <t>GPL-2.0</t>
        </is>
      </c>
      <c r="E51" s="8" t="inlineStr">
        <is>
          <t>SAGA community</t>
        </is>
      </c>
      <c r="F51" s="8" t="inlineStr">
        <is>
          <t>Production</t>
        </is>
      </c>
      <c r="G51" s="8" t="inlineStr">
        <is>
          <t>—</t>
        </is>
      </c>
    </row>
    <row r="52" ht="46" customHeight="1">
      <c r="A52" s="8" t="inlineStr">
        <is>
          <t>PDAL</t>
        </is>
      </c>
      <c r="B52" s="8" t="inlineStr">
        <is>
          <t>Processing</t>
        </is>
      </c>
      <c r="C52" s="8" t="inlineStr">
        <is>
          <t>Point-cloud (LiDAR, drone photogrammetry) processing</t>
        </is>
      </c>
      <c r="D52" s="8" t="inlineStr">
        <is>
          <t>BSD-3</t>
        </is>
      </c>
      <c r="E52" s="8" t="inlineStr">
        <is>
          <t>PDAL contributors / OSGeo</t>
        </is>
      </c>
      <c r="F52" s="8" t="inlineStr">
        <is>
          <t>Production</t>
        </is>
      </c>
      <c r="G52" s="8" t="inlineStr">
        <is>
          <t>Relevant where a deployment ingests drone or airborne LiDAR alongside satellite data — e.g. calibrating the DEM-differencing error model against a surveyed site.</t>
        </is>
      </c>
    </row>
    <row r="53" ht="46" customHeight="1">
      <c r="A53" s="8" t="inlineStr">
        <is>
          <t>Zarr</t>
        </is>
      </c>
      <c r="B53" s="8" t="inlineStr">
        <is>
          <t>Format</t>
        </is>
      </c>
      <c r="C53" s="8" t="inlineStr">
        <is>
          <t>Chunked, compressed, cloud-native N-dimensional arrays</t>
        </is>
      </c>
      <c r="D53" s="8" t="inlineStr">
        <is>
          <t>MIT</t>
        </is>
      </c>
      <c r="E53" s="8" t="inlineStr">
        <is>
          <t>Zarr community / NumFOCUS</t>
        </is>
      </c>
      <c r="F53" s="8" t="inlineStr">
        <is>
          <t>Production</t>
        </is>
      </c>
      <c r="G53" s="8" t="inlineStr">
        <is>
          <t>An alternative to COG for large multi-temporal cubes; pairs with xarray and dask.</t>
        </is>
      </c>
    </row>
    <row r="54" ht="46" customHeight="1">
      <c r="A54" s="8" t="inlineStr">
        <is>
          <t>eo-learn</t>
        </is>
      </c>
      <c r="B54" s="8" t="inlineStr">
        <is>
          <t>Analysis</t>
        </is>
      </c>
      <c r="C54" s="8" t="inlineStr">
        <is>
          <t>Earth-observation processing pipelines as scikit-learn-style transformers</t>
        </is>
      </c>
      <c r="D54" s="8" t="inlineStr">
        <is>
          <t>MIT</t>
        </is>
      </c>
      <c r="E54" s="8" t="inlineStr">
        <is>
          <t>Sinergise / community</t>
        </is>
      </c>
      <c r="F54" s="8" t="inlineStr">
        <is>
          <t>Production</t>
        </is>
      </c>
      <c r="G54" s="8" t="inlineStr">
        <is>
          <t>A patterned way to assemble a detector pipeline without hand-rolling glue code.</t>
        </is>
      </c>
    </row>
    <row r="55" ht="46" customHeight="1">
      <c r="A55" s="8" t="inlineStr">
        <is>
          <t>MLflow</t>
        </is>
      </c>
      <c r="B55" s="8" t="inlineStr">
        <is>
          <t>Analysis</t>
        </is>
      </c>
      <c r="C55" s="8" t="inlineStr">
        <is>
          <t>Experiment tracking and model versioning</t>
        </is>
      </c>
      <c r="D55" s="8" t="inlineStr">
        <is>
          <t>Apache-2.0</t>
        </is>
      </c>
      <c r="E55" s="8" t="inlineStr">
        <is>
          <t>Linux Foundation</t>
        </is>
      </c>
      <c r="F55" s="8" t="inlineStr">
        <is>
          <t>Production</t>
        </is>
      </c>
      <c r="G55" s="8" t="inlineStr">
        <is>
          <t>Gives the learned second-opinion detector the same version discipline the rule-based detectors get from ALGORITHM_VERSIONS — required once a model sits anywhere near the evidentiary path.</t>
        </is>
      </c>
    </row>
    <row r="56" ht="46" customHeight="1">
      <c r="A56" s="8" t="inlineStr">
        <is>
          <t>Great Expectations</t>
        </is>
      </c>
      <c r="B56" s="8" t="inlineStr">
        <is>
          <t>Data quality</t>
        </is>
      </c>
      <c r="C56" s="8" t="inlineStr">
        <is>
          <t>Declarative data validation for pipelines</t>
        </is>
      </c>
      <c r="D56" s="8" t="inlineStr">
        <is>
          <t>Apache-2.0</t>
        </is>
      </c>
      <c r="E56" s="8" t="inlineStr">
        <is>
          <t>Great Expectations community</t>
        </is>
      </c>
      <c r="F56" s="8" t="inlineStr">
        <is>
          <t>Production</t>
        </is>
      </c>
      <c r="G56" s="8" t="inlineStr">
        <is>
          <t>Catches a malformed registry export (wrong CRS, truncated file, schema drift) before it reaches a case, rather than after.</t>
        </is>
      </c>
    </row>
    <row r="57" ht="46" customHeight="1">
      <c r="A57" s="8" t="inlineStr">
        <is>
          <t>Martin</t>
        </is>
      </c>
      <c r="B57" s="8" t="inlineStr">
        <is>
          <t>Services</t>
        </is>
      </c>
      <c r="C57" s="8" t="inlineStr">
        <is>
          <t>Fast vector-tile (MVT) server in Rust</t>
        </is>
      </c>
      <c r="D57" s="8" t="inlineStr">
        <is>
          <t>MIT</t>
        </is>
      </c>
      <c r="E57" s="8" t="inlineStr">
        <is>
          <t>MapLibre organisation</t>
        </is>
      </c>
      <c r="F57" s="8" t="inlineStr">
        <is>
          <t>Production</t>
        </is>
      </c>
      <c r="G57" s="8" t="inlineStr">
        <is>
          <t>A lighter alternative to GeoServer/pygeoapi when only fast tile serving is needed.</t>
        </is>
      </c>
    </row>
    <row r="58" ht="46" customHeight="1">
      <c r="A58" s="8" t="inlineStr">
        <is>
          <t>H3</t>
        </is>
      </c>
      <c r="B58" s="8" t="inlineStr">
        <is>
          <t>Processing</t>
        </is>
      </c>
      <c r="C58" s="8" t="inlineStr">
        <is>
          <t>Hexagonal hierarchical spatial indexing</t>
        </is>
      </c>
      <c r="D58" s="8" t="inlineStr">
        <is>
          <t>Apache-2.0</t>
        </is>
      </c>
      <c r="E58" s="8" t="inlineStr">
        <is>
          <t>Uber / community</t>
        </is>
      </c>
      <c r="F58" s="8" t="inlineStr">
        <is>
          <t>Production</t>
        </is>
      </c>
      <c r="G58" s="8" t="inlineStr">
        <is>
          <t>Useful for aggregating findings to a coarse grid for the political-register oversight brief without exposing exact site geometry.</t>
        </is>
      </c>
    </row>
    <row r="59" ht="46" customHeight="1">
      <c r="A59" s="8" t="inlineStr">
        <is>
          <t>Folium / ipyleaflet</t>
        </is>
      </c>
      <c r="B59" s="8" t="inlineStr">
        <is>
          <t>Field</t>
        </is>
      </c>
      <c r="C59" s="8" t="inlineStr">
        <is>
          <t>Interactive maps inside notebooks</t>
        </is>
      </c>
      <c r="D59" s="8" t="inlineStr">
        <is>
          <t>MIT</t>
        </is>
      </c>
      <c r="E59" s="8" t="inlineStr">
        <is>
          <t>Python-Visualization / Jupyter community</t>
        </is>
      </c>
      <c r="F59" s="8" t="inlineStr">
        <is>
          <t>Production</t>
        </is>
      </c>
      <c r="G59" s="8" t="inlineStr">
        <is>
          <t>Lets an analyst eyeball a case's imagery and mask overlays before it is corroborated, without leaving the analysis notebook.</t>
        </is>
      </c>
    </row>
    <row r="60" ht="46" customHeight="1">
      <c r="A60" s="8" t="inlineStr">
        <is>
          <t>OpenSearch</t>
        </is>
      </c>
      <c r="B60" s="8" t="inlineStr">
        <is>
          <t>Analytics</t>
        </is>
      </c>
      <c r="C60" s="8" t="inlineStr">
        <is>
          <t>Log and full-text search, forked from Elasticsearch</t>
        </is>
      </c>
      <c r="D60" s="8" t="inlineStr">
        <is>
          <t>Apache-2.0</t>
        </is>
      </c>
      <c r="E60" s="8" t="inlineStr">
        <is>
          <t>OpenSearch Software Foundation</t>
        </is>
      </c>
      <c r="F60" s="8" t="inlineStr">
        <is>
          <t>Production</t>
        </is>
      </c>
      <c r="G60" s="8" t="inlineStr">
        <is>
          <t>A home for indexing ledger entries, notices and public cards for full-text search on the public portal.</t>
        </is>
      </c>
    </row>
    <row r="61" ht="46" customHeight="1">
      <c r="A61" s="8" t="inlineStr">
        <is>
          <t>Metabase (OSS edition)</t>
        </is>
      </c>
      <c r="B61" s="8" t="inlineStr">
        <is>
          <t>Analytics</t>
        </is>
      </c>
      <c r="C61" s="8" t="inlineStr">
        <is>
          <t>BI dashboards over the case register</t>
        </is>
      </c>
      <c r="D61" s="8" t="inlineStr">
        <is>
          <t>AGPL-3.0</t>
        </is>
      </c>
      <c r="E61" s="8" t="inlineStr">
        <is>
          <t>Metabase community</t>
        </is>
      </c>
      <c r="F61" s="8" t="inlineStr">
        <is>
          <t>Production</t>
        </is>
      </c>
      <c r="G61" s="8" t="inlineStr">
        <is>
          <t>Lighter to stand up than Superset for a Tier-1/Tier-2 deployment; AGPL implications apply if modified and exposed as a service, as with CKAN/Grafana.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30" customWidth="1" min="3" max="3"/>
    <col width="44" customWidth="1" min="4" max="4"/>
    <col width="40" customWidth="1" min="5" max="5"/>
    <col width="28" customWidth="1" min="6" max="6"/>
    <col width="58" customWidth="1" min="7" max="7"/>
  </cols>
  <sheetData>
    <row r="1">
      <c r="A1" s="5" t="inlineStr">
        <is>
          <t>Capability mirror</t>
        </is>
      </c>
    </row>
    <row r="2">
      <c r="A2" s="6" t="inlineStr">
        <is>
          <t>What the operator sees, what a public body can see from public data, and what cannot be mirrored at all.</t>
        </is>
      </c>
    </row>
    <row r="4">
      <c r="A4" s="7" t="inlineStr">
        <is>
          <t>#</t>
        </is>
      </c>
      <c r="B4" s="7" t="inlineStr">
        <is>
          <t>Operator capability</t>
        </is>
      </c>
      <c r="C4" s="7" t="inlineStr">
        <is>
          <t>Vendor examples</t>
        </is>
      </c>
      <c r="D4" s="7" t="inlineStr">
        <is>
          <t>Public mirror</t>
        </is>
      </c>
      <c r="E4" s="7" t="inlineStr">
        <is>
          <t>Public data behind it</t>
        </is>
      </c>
      <c r="F4" s="7" t="inlineStr">
        <is>
          <t>Fidelity</t>
        </is>
      </c>
      <c r="G4" s="7" t="inlineStr">
        <is>
          <t>Assessment</t>
        </is>
      </c>
    </row>
    <row r="5" ht="62" customHeight="1">
      <c r="A5" s="8" t="n">
        <v>1</v>
      </c>
      <c r="B5" s="8" t="inlineStr">
        <is>
          <t>Tenure and permit management</t>
        </is>
      </c>
      <c r="C5" s="8" t="inlineStr">
        <is>
          <t>trueMINER, acQuire, Landfolio</t>
        </is>
      </c>
      <c r="D5" s="8" t="inlineStr">
        <is>
          <t>Cadastre engine — polygon register, overlap detection, title-status timeline</t>
        </is>
      </c>
      <c r="E5" s="8" t="inlineStr">
        <is>
          <t>SIGMINE (daily); EU member-state registries under Reg. 2023/138</t>
        </is>
      </c>
      <c r="F5" s="8" t="inlineStr">
        <is>
          <t>Full</t>
        </is>
      </c>
      <c r="G5" s="8" t="inlineStr">
        <is>
          <t>The registry IS the public copy. Nothing to reconstruct.</t>
        </is>
      </c>
    </row>
    <row r="6" ht="62" customHeight="1">
      <c r="A6" s="8" t="n">
        <v>2</v>
      </c>
      <c r="B6" s="8" t="inlineStr">
        <is>
          <t>Survey of the working surface</t>
        </is>
      </c>
      <c r="C6" s="8" t="inlineStr">
        <is>
          <t>Total station, drone photogrammetry</t>
        </is>
      </c>
      <c r="D6" s="8" t="inlineStr">
        <is>
          <t>Footprint delineation at 10 m, every 5 days</t>
        </is>
      </c>
      <c r="E6" s="8" t="inlineStr">
        <is>
          <t>Sentinel-2 L2A; Landsat 8/9 for the pre-2015 baseline</t>
        </is>
      </c>
      <c r="F6" s="8" t="inlineStr">
        <is>
          <t>High</t>
        </is>
      </c>
      <c r="G6" s="8" t="inlineStr">
        <is>
          <t>Operator wins on precision; public wins on frequency and history. For 'did it move outside the boundary', frequency wins.</t>
        </is>
      </c>
    </row>
    <row r="7" ht="62" customHeight="1">
      <c r="A7" s="8" t="n">
        <v>3</v>
      </c>
      <c r="B7" s="8" t="inlineStr">
        <is>
          <t>Volumetrics and progress</t>
        </is>
      </c>
      <c r="C7" s="8" t="inlineStr">
        <is>
          <t>Propeller, Strayos</t>
        </is>
      </c>
      <c r="D7" s="8" t="inlineStr">
        <is>
          <t>DEM differencing — cut/fill and implied tonnage with explicit uncertainty</t>
        </is>
      </c>
      <c r="E7" s="8" t="inlineStr">
        <is>
          <t>Copernicus DEM GLO-30; NASADEM; national photogrammetric DSMs</t>
        </is>
      </c>
      <c r="F7" s="8" t="inlineStr">
        <is>
          <t>Moderate</t>
        </is>
      </c>
      <c r="G7" s="8" t="inlineStr">
        <is>
          <t>Order-of-magnitude with wide intervals. An upper bound on extraction, never a production figure.</t>
        </is>
      </c>
    </row>
    <row r="8" ht="62" customHeight="1">
      <c r="A8" s="8" t="n">
        <v>4</v>
      </c>
      <c r="B8" s="8" t="inlineStr">
        <is>
          <t>Geotechnical and dam monitoring</t>
        </is>
      </c>
      <c r="C8" s="8" t="inlineStr">
        <is>
          <t>Rocscience, instrumented crests</t>
        </is>
      </c>
      <c r="D8" s="8" t="inlineStr">
        <is>
          <t>InSAR displacement screening — mm-scale movement and acceleration</t>
        </is>
      </c>
      <c r="E8" s="8" t="inlineStr">
        <is>
          <t>EGMS (Europe, free); Sentinel-1 via ISCE2/SNAP + MintPy/LiCSBAS elsewhere</t>
        </is>
      </c>
      <c r="F8" s="8" t="inlineStr">
        <is>
          <t>High for movement, none for cause</t>
        </is>
      </c>
      <c r="G8" s="8" t="inlineStr">
        <is>
          <t>Detects that a crest is moving. Cannot say why, and must not predict failure.</t>
        </is>
      </c>
    </row>
    <row r="9" ht="62" customHeight="1">
      <c r="A9" s="8" t="n">
        <v>5</v>
      </c>
      <c r="B9" s="8" t="inlineStr">
        <is>
          <t>Tailings and water management</t>
        </is>
      </c>
      <c r="C9" s="8" t="inlineStr">
        <is>
          <t>RPMGlobal, Envirosuite</t>
        </is>
      </c>
      <c r="D9" s="8" t="inlineStr">
        <is>
          <t>Pond extent, turbidity gradient, freeboard proxy</t>
        </is>
      </c>
      <c r="E9" s="8" t="inlineStr">
        <is>
          <t>Sentinel-2; JRC Global Surface Water; SIGBM; Global Tailings Portal</t>
        </is>
      </c>
      <c r="F9" s="8" t="inlineStr">
        <is>
          <t>Moderate</t>
        </is>
      </c>
      <c r="G9" s="8" t="inlineStr">
        <is>
          <t>Surface behaviour only. Turbidity is a trigger for sampling, not a contamination finding.</t>
        </is>
      </c>
    </row>
    <row r="10" ht="62" customHeight="1">
      <c r="A10" s="8" t="n">
        <v>6</v>
      </c>
      <c r="B10" s="8" t="inlineStr">
        <is>
          <t>Environmental monitoring</t>
        </is>
      </c>
      <c r="C10" s="8" t="inlineStr">
        <is>
          <t>Envirosuite, EnviroDataVault</t>
        </is>
      </c>
      <c r="D10" s="8" t="inlineStr">
        <is>
          <t>Impact screening — vegetation loss, deforestation alerts, plume proxies</t>
        </is>
      </c>
      <c r="E10" s="8" t="inlineStr">
        <is>
          <t>RADD; DETER/PRODES; MapBiomas; Sentinel-5P</t>
        </is>
      </c>
      <c r="F10" s="8" t="inlineStr">
        <is>
          <t>Moderate to high for land cover</t>
        </is>
      </c>
      <c r="G10" s="8" t="inlineStr">
        <is>
          <t>Low for ambient concentrations without ground stations. Do not overclaim.</t>
        </is>
      </c>
    </row>
    <row r="11" ht="62" customHeight="1">
      <c r="A11" s="8" t="n">
        <v>7</v>
      </c>
      <c r="B11" s="8" t="inlineStr">
        <is>
          <t>Metallurgical accounting</t>
        </is>
      </c>
      <c r="C11" s="8" t="inlineStr">
        <is>
          <t>INVENTEO (AMIRA P754)</t>
        </is>
      </c>
      <c r="D11" s="8" t="inlineStr">
        <is>
          <t>Declaration screening — intensity against peers; cross-filing consistency</t>
        </is>
      </c>
      <c r="E11" s="8" t="inlineStr">
        <is>
          <t>CFEM; Anuário Mineral; EITI; EU Ch. 10; ESTMA</t>
        </is>
      </c>
      <c r="F11" s="8" t="inlineStr">
        <is>
          <t>Low as measurement, high as triage</t>
        </is>
      </c>
      <c r="G11" s="8" t="inlineStr">
        <is>
          <t>Do NOT convert footprint to tonnes. You cannot compute their production; you can rank who is worth auditing.</t>
        </is>
      </c>
    </row>
    <row r="12" ht="62" customHeight="1">
      <c r="A12" s="8" t="n">
        <v>8</v>
      </c>
      <c r="B12" s="8" t="inlineStr">
        <is>
          <t>Stakeholder and grievance management</t>
        </is>
      </c>
      <c r="C12" s="8" t="inlineStr">
        <is>
          <t>Borealis</t>
        </is>
      </c>
      <c r="D12" s="8" t="inlineStr">
        <is>
          <t>Public grievance intake with a published response obligation</t>
        </is>
      </c>
      <c r="E12" s="8" t="inlineStr">
        <is>
          <t>Built, not borrowed (ODK/Kobo pattern)</t>
        </is>
      </c>
      <c r="F12" s="8" t="inlineStr">
        <is>
          <t>Full</t>
        </is>
      </c>
      <c r="G12" s="8" t="inlineStr">
        <is>
          <t>Arguably better than the commercial equivalent: the record is not held by the party complained about.</t>
        </is>
      </c>
    </row>
    <row r="13" ht="62" customHeight="1">
      <c r="A13" s="8" t="n">
        <v>9</v>
      </c>
      <c r="B13" s="8" t="inlineStr">
        <is>
          <t>EHS incident management</t>
        </is>
      </c>
      <c r="C13" s="8" t="inlineStr">
        <is>
          <t>Intelex, EHS Insight, SafetyIQ</t>
        </is>
      </c>
      <c r="D13" s="8" t="inlineStr">
        <is>
          <t>Public incident register cross-referenced with regulator and press records</t>
        </is>
      </c>
      <c r="E13" s="8" t="inlineStr">
        <is>
          <t>Agency bulletins, labour inspectorate data, press</t>
        </is>
      </c>
      <c r="F13" s="8" t="inlineStr">
        <is>
          <t>Partial</t>
        </is>
      </c>
      <c r="G13" s="8" t="inlineStr">
        <is>
          <t>Entirely dependent on the disclosure regime in force.</t>
        </is>
      </c>
    </row>
    <row r="14" ht="62" customHeight="1">
      <c r="A14" s="8" t="n">
        <v>10</v>
      </c>
      <c r="B14" s="8" t="inlineStr">
        <is>
          <t>Mine planning, scheduling, reserve modelling</t>
        </is>
      </c>
      <c r="C14" s="8" t="inlineStr">
        <is>
          <t>Deswik, Vulcan, Datamine, Leapfrog</t>
        </is>
      </c>
      <c r="D14" s="8" t="inlineStr">
        <is>
          <t>NONE</t>
        </is>
      </c>
      <c r="E14" s="8" t="inlineStr">
        <is>
          <t>—</t>
        </is>
      </c>
      <c r="F14" s="8" t="inlineStr">
        <is>
          <t>Not mirrorable</t>
        </is>
      </c>
      <c r="G14" s="8" t="inlineStr">
        <is>
          <t>Requires the drillhole database. No open-source equivalent exists and the public mirror does not need one.</t>
        </is>
      </c>
    </row>
    <row r="15" ht="62" customHeight="1">
      <c r="A15" s="8" t="n">
        <v>11</v>
      </c>
      <c r="B15" s="8" t="inlineStr">
        <is>
          <t>Fleet management and dispatch</t>
        </is>
      </c>
      <c r="C15" s="8" t="inlineStr">
        <is>
          <t>Modular, Wenco, Cat MineStar</t>
        </is>
      </c>
      <c r="D15" s="8" t="inlineStr">
        <is>
          <t>NONE</t>
        </is>
      </c>
      <c r="E15" s="8" t="inlineStr">
        <is>
          <t>—</t>
        </is>
      </c>
      <c r="F15" s="8" t="inlineStr">
        <is>
          <t>Not mirrorable, and should not be</t>
        </is>
      </c>
      <c r="G15" s="8" t="inlineStr">
        <is>
          <t>A regulator has no business dispatching trucks. Saying so is what makes the rest credible.</t>
        </is>
      </c>
    </row>
    <row r="16" ht="62" customHeight="1">
      <c r="A16" s="8" t="n">
        <v>12</v>
      </c>
      <c r="B16" s="8" t="inlineStr">
        <is>
          <t>Process control / SCADA</t>
        </is>
      </c>
      <c r="C16" s="8" t="inlineStr">
        <is>
          <t>FrameworX, Rockwell, ABB</t>
        </is>
      </c>
      <c r="D16" s="8" t="inlineStr">
        <is>
          <t>NONE</t>
        </is>
      </c>
      <c r="E16" s="8" t="inlineStr">
        <is>
          <t>—</t>
        </is>
      </c>
      <c r="F16" s="8" t="inlineStr">
        <is>
          <t>Not mirrorable</t>
        </is>
      </c>
      <c r="G16" s="8" t="inlineStr">
        <is>
          <t>Inside the plant, behind the fence, on the operator's network.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6" customWidth="1" min="3" max="3"/>
    <col width="52" customWidth="1" min="4" max="4"/>
    <col width="40" customWidth="1" min="5" max="5"/>
  </cols>
  <sheetData>
    <row r="1">
      <c r="A1" s="5" t="inlineStr">
        <is>
          <t>Commercial landscape</t>
        </is>
      </c>
    </row>
    <row r="2">
      <c r="A2" s="6" t="inlineStr">
        <is>
          <t>The products listed on sourceforge.net/software/mining/europe/, sorted by function. Treated here as a published capability specification, not an endorsement.</t>
        </is>
      </c>
    </row>
    <row r="4">
      <c r="A4" s="7" t="inlineStr">
        <is>
          <t>Product</t>
        </is>
      </c>
      <c r="B4" s="7" t="inlineStr">
        <is>
          <t>Vendor</t>
        </is>
      </c>
      <c r="C4" s="7" t="inlineStr">
        <is>
          <t>Functional layer</t>
        </is>
      </c>
      <c r="D4" s="7" t="inlineStr">
        <is>
          <t>Self-described function</t>
        </is>
      </c>
      <c r="E4" s="7" t="inlineStr">
        <is>
          <t>Mirrorable from public data?</t>
        </is>
      </c>
    </row>
    <row r="5" ht="34" customHeight="1">
      <c r="A5" s="8" t="inlineStr">
        <is>
          <t>trueMINER</t>
        </is>
      </c>
      <c r="B5" s="8" t="inlineStr">
        <is>
          <t>trueMINER</t>
        </is>
      </c>
      <c r="C5" s="8" t="inlineStr">
        <is>
          <t>Tenure and permits</t>
        </is>
      </c>
      <c r="D5" s="8" t="inlineStr">
        <is>
          <t>Land management for tenure, exploration activities and permits</t>
        </is>
      </c>
      <c r="E5" s="8" t="inlineStr">
        <is>
          <t>Yes — fully</t>
        </is>
      </c>
    </row>
    <row r="6" ht="34" customHeight="1">
      <c r="A6" s="8" t="inlineStr">
        <is>
          <t>MineCycle</t>
        </is>
      </c>
      <c r="B6" s="8" t="inlineStr">
        <is>
          <t>Bentley</t>
        </is>
      </c>
      <c r="C6" s="8" t="inlineStr">
        <is>
          <t>Mine design and survey</t>
        </is>
      </c>
      <c r="D6" s="8" t="inlineStr">
        <is>
          <t>Mine design, planning and survey with scheduling and bulk materials handling</t>
        </is>
      </c>
      <c r="E6" s="8" t="inlineStr">
        <is>
          <t>Extent only</t>
        </is>
      </c>
    </row>
    <row r="7" ht="34" customHeight="1">
      <c r="A7" s="8" t="inlineStr">
        <is>
          <t>Promine</t>
        </is>
      </c>
      <c r="B7" s="8" t="inlineStr">
        <is>
          <t>Promine</t>
        </is>
      </c>
      <c r="C7" s="8" t="inlineStr">
        <is>
          <t>Mine design</t>
        </is>
      </c>
      <c r="D7" s="8" t="inlineStr">
        <is>
          <t>CAD-integrated resource calculation, mine planning and scheduling</t>
        </is>
      </c>
      <c r="E7" s="8" t="inlineStr">
        <is>
          <t>No</t>
        </is>
      </c>
    </row>
    <row r="8" ht="34" customHeight="1">
      <c r="A8" s="8" t="inlineStr">
        <is>
          <t>Reactore / MineOne</t>
        </is>
      </c>
      <c r="B8" s="8" t="inlineStr">
        <is>
          <t>Reactore</t>
        </is>
      </c>
      <c r="C8" s="8" t="inlineStr">
        <is>
          <t>Planning and execution</t>
        </is>
      </c>
      <c r="D8" s="8" t="inlineStr">
        <is>
          <t>Operational planning and digitalisation of mining activity</t>
        </is>
      </c>
      <c r="E8" s="8" t="inlineStr">
        <is>
          <t>No</t>
        </is>
      </c>
    </row>
    <row r="9" ht="34" customHeight="1">
      <c r="A9" s="8" t="inlineStr">
        <is>
          <t>ShiftManager</t>
        </is>
      </c>
      <c r="B9" s="8" t="inlineStr">
        <is>
          <t>RPMGlobal</t>
        </is>
      </c>
      <c r="C9" s="8" t="inlineStr">
        <is>
          <t>Short-interval control</t>
        </is>
      </c>
      <c r="D9" s="8" t="inlineStr">
        <is>
          <t>Real-time short-term planning and execution</t>
        </is>
      </c>
      <c r="E9" s="8" t="inlineStr">
        <is>
          <t>No</t>
        </is>
      </c>
    </row>
    <row r="10" ht="34" customHeight="1">
      <c r="A10" s="8" t="inlineStr">
        <is>
          <t>Lightship</t>
        </is>
      </c>
      <c r="B10" s="8" t="inlineStr">
        <is>
          <t>Lightship</t>
        </is>
      </c>
      <c r="C10" s="8" t="inlineStr">
        <is>
          <t>Automation glue</t>
        </is>
      </c>
      <c r="D10" s="8" t="inlineStr">
        <is>
          <t>Connects field, facility and office work across enterprise systems</t>
        </is>
      </c>
      <c r="E10" s="8" t="inlineStr">
        <is>
          <t>No</t>
        </is>
      </c>
    </row>
    <row r="11" ht="34" customHeight="1">
      <c r="A11" s="8" t="inlineStr">
        <is>
          <t>Blast Management System (BIMS)</t>
        </is>
      </c>
      <c r="B11" s="8" t="inlineStr">
        <is>
          <t>MineExcellence</t>
        </is>
      </c>
      <c r="C11" s="8" t="inlineStr">
        <is>
          <t>Drill and blast</t>
        </is>
      </c>
      <c r="D11" s="8" t="inlineStr">
        <is>
          <t>Planning, controlling and documenting drill and blast operations</t>
        </is>
      </c>
      <c r="E11" s="8" t="inlineStr">
        <is>
          <t>No</t>
        </is>
      </c>
    </row>
    <row r="12" ht="34" customHeight="1">
      <c r="A12" s="8" t="inlineStr">
        <is>
          <t>Rocscience</t>
        </is>
      </c>
      <c r="B12" s="8" t="inlineStr">
        <is>
          <t>Rocscience</t>
        </is>
      </c>
      <c r="C12" s="8" t="inlineStr">
        <is>
          <t>Geotechnics</t>
        </is>
      </c>
      <c r="D12" s="8" t="inlineStr">
        <is>
          <t>2-D/3-D rock and soil stability analysis</t>
        </is>
      </c>
      <c r="E12" s="8" t="inlineStr">
        <is>
          <t>Movement only, via InSAR</t>
        </is>
      </c>
    </row>
    <row r="13" ht="34" customHeight="1">
      <c r="A13" s="8" t="inlineStr">
        <is>
          <t>Propeller</t>
        </is>
      </c>
      <c r="B13" s="8" t="inlineStr">
        <is>
          <t>Propeller Aero</t>
        </is>
      </c>
      <c r="C13" s="8" t="inlineStr">
        <is>
          <t>Survey and volumetrics</t>
        </is>
      </c>
      <c r="D13" s="8" t="inlineStr">
        <is>
          <t>Drone mapping and 3-D analytics for earthworks progress</t>
        </is>
      </c>
      <c r="E13" s="8" t="inlineStr">
        <is>
          <t>Approximately, via DEM differencing</t>
        </is>
      </c>
    </row>
    <row r="14" ht="34" customHeight="1">
      <c r="A14" s="8" t="inlineStr">
        <is>
          <t>Strayos</t>
        </is>
      </c>
      <c r="B14" s="8" t="inlineStr">
        <is>
          <t>Strayos</t>
        </is>
      </c>
      <c r="C14" s="8" t="inlineStr">
        <is>
          <t>3-D AI</t>
        </is>
      </c>
      <c r="D14" s="8" t="inlineStr">
        <is>
          <t>Visual AI on 3-D data for mine-to-mill digital twins</t>
        </is>
      </c>
      <c r="E14" s="8" t="inlineStr">
        <is>
          <t>No</t>
        </is>
      </c>
    </row>
    <row r="15" ht="34" customHeight="1">
      <c r="A15" s="8" t="inlineStr">
        <is>
          <t>RockWorks</t>
        </is>
      </c>
      <c r="B15" s="8" t="inlineStr">
        <is>
          <t>RockWare</t>
        </is>
      </c>
      <c r="C15" s="8" t="inlineStr">
        <is>
          <t>Geological modelling</t>
        </is>
      </c>
      <c r="D15" s="8" t="inlineStr">
        <is>
          <t>2-D/3-D subsurface mapping and geological modelling</t>
        </is>
      </c>
      <c r="E15" s="8" t="inlineStr">
        <is>
          <t>No</t>
        </is>
      </c>
    </row>
    <row r="16" ht="34" customHeight="1">
      <c r="A16" s="8" t="inlineStr">
        <is>
          <t>LogPlot8</t>
        </is>
      </c>
      <c r="B16" s="8" t="inlineStr">
        <is>
          <t>RockWare</t>
        </is>
      </c>
      <c r="C16" s="8" t="inlineStr">
        <is>
          <t>Geological logging</t>
        </is>
      </c>
      <c r="D16" s="8" t="inlineStr">
        <is>
          <t>Log plotting of geotechnical and mining data</t>
        </is>
      </c>
      <c r="E16" s="8" t="inlineStr">
        <is>
          <t>No</t>
        </is>
      </c>
    </row>
    <row r="17" ht="34" customHeight="1">
      <c r="A17" s="8" t="inlineStr">
        <is>
          <t>Surfer</t>
        </is>
      </c>
      <c r="B17" s="8" t="inlineStr">
        <is>
          <t>Golden Software</t>
        </is>
      </c>
      <c r="C17" s="8" t="inlineStr">
        <is>
          <t>Surfaces</t>
        </is>
      </c>
      <c r="D17" s="8" t="inlineStr">
        <is>
          <t>Data visualisation and modelling for geology and hydrology</t>
        </is>
      </c>
      <c r="E17" s="8" t="inlineStr">
        <is>
          <t>Partially — open equivalents exist</t>
        </is>
      </c>
    </row>
    <row r="18" ht="34" customHeight="1">
      <c r="A18" s="8" t="inlineStr">
        <is>
          <t>HSC Chemistry</t>
        </is>
      </c>
      <c r="B18" s="8" t="inlineStr">
        <is>
          <t>Metso</t>
        </is>
      </c>
      <c r="C18" s="8" t="inlineStr">
        <is>
          <t>Process chemistry</t>
        </is>
      </c>
      <c r="D18" s="8" t="inlineStr">
        <is>
          <t>Thermodynamic calculations for mineral processing</t>
        </is>
      </c>
      <c r="E18" s="8" t="inlineStr">
        <is>
          <t>No</t>
        </is>
      </c>
    </row>
    <row r="19" ht="34" customHeight="1">
      <c r="A19" s="8" t="inlineStr">
        <is>
          <t>INVENTEO</t>
        </is>
      </c>
      <c r="B19" s="8" t="inlineStr">
        <is>
          <t>Caspeo</t>
        </is>
      </c>
      <c r="C19" s="8" t="inlineStr">
        <is>
          <t>Metallurgical accounting</t>
        </is>
      </c>
      <c r="D19" s="8" t="inlineStr">
        <is>
          <t>Metal accounting compliant with the AMIRA P754 code</t>
        </is>
      </c>
      <c r="E19" s="8" t="inlineStr">
        <is>
          <t>Only as relative triage, never as measurement</t>
        </is>
      </c>
    </row>
    <row r="20" ht="34" customHeight="1">
      <c r="A20" s="8" t="inlineStr">
        <is>
          <t>Envirosuite</t>
        </is>
      </c>
      <c r="B20" s="8" t="inlineStr">
        <is>
          <t>Envirosuite</t>
        </is>
      </c>
      <c r="C20" s="8" t="inlineStr">
        <is>
          <t>Environmental monitoring</t>
        </is>
      </c>
      <c r="D20" s="8" t="inlineStr">
        <is>
          <t>Real-time environmental monitoring turning sensor data into decisions</t>
        </is>
      </c>
      <c r="E20" s="8" t="inlineStr">
        <is>
          <t>Partially — land cover yes, ambient concentrations no</t>
        </is>
      </c>
    </row>
    <row r="21" ht="34" customHeight="1">
      <c r="A21" s="8" t="inlineStr">
        <is>
          <t>EnviroDataVault</t>
        </is>
      </c>
      <c r="B21" s="8" t="inlineStr">
        <is>
          <t>RPMGlobal</t>
        </is>
      </c>
      <c r="C21" s="8" t="inlineStr">
        <is>
          <t>Environmental data</t>
        </is>
      </c>
      <c r="D21" s="8" t="inlineStr">
        <is>
          <t>Environmental data capture and management across the mine lifecycle</t>
        </is>
      </c>
      <c r="E21" s="8" t="inlineStr">
        <is>
          <t>Partially</t>
        </is>
      </c>
    </row>
    <row r="22" ht="34" customHeight="1">
      <c r="A22" s="8" t="inlineStr">
        <is>
          <t>Intelex</t>
        </is>
      </c>
      <c r="B22" s="8" t="inlineStr">
        <is>
          <t>Intelex Technologies</t>
        </is>
      </c>
      <c r="C22" s="8" t="inlineStr">
        <is>
          <t>EHSQ</t>
        </is>
      </c>
      <c r="D22" s="8" t="inlineStr">
        <is>
          <t>Integrated environment, health, safety and quality management</t>
        </is>
      </c>
      <c r="E22" s="8" t="inlineStr">
        <is>
          <t>Only the public-record part</t>
        </is>
      </c>
    </row>
    <row r="23" ht="34" customHeight="1">
      <c r="A23" s="8" t="inlineStr">
        <is>
          <t>EHS Insight</t>
        </is>
      </c>
      <c r="B23" s="8" t="inlineStr">
        <is>
          <t>EHS Insight</t>
        </is>
      </c>
      <c r="C23" s="8" t="inlineStr">
        <is>
          <t>EHS</t>
        </is>
      </c>
      <c r="D23" s="8" t="inlineStr">
        <is>
          <t>Compliance and incident tracking</t>
        </is>
      </c>
      <c r="E23" s="8" t="inlineStr">
        <is>
          <t>Only the public-record part</t>
        </is>
      </c>
    </row>
    <row r="24" ht="34" customHeight="1">
      <c r="A24" s="8" t="inlineStr">
        <is>
          <t>SafetyIQ</t>
        </is>
      </c>
      <c r="B24" s="8" t="inlineStr">
        <is>
          <t>SafetyIQ</t>
        </is>
      </c>
      <c r="C24" s="8" t="inlineStr">
        <is>
          <t>Workforce safety</t>
        </is>
      </c>
      <c r="D24" s="8" t="inlineStr">
        <is>
          <t>Mobile worker safety, fatigue management, training</t>
        </is>
      </c>
      <c r="E24" s="8" t="inlineStr">
        <is>
          <t>No</t>
        </is>
      </c>
    </row>
    <row r="25" ht="34" customHeight="1">
      <c r="A25" s="8" t="inlineStr">
        <is>
          <t>PeopleTray</t>
        </is>
      </c>
      <c r="B25" s="8" t="inlineStr">
        <is>
          <t>PeopleTray</t>
        </is>
      </c>
      <c r="C25" s="8" t="inlineStr">
        <is>
          <t>Workforce</t>
        </is>
      </c>
      <c r="D25" s="8" t="inlineStr">
        <is>
          <t>Worker safety, incident reporting, compliance, rosters</t>
        </is>
      </c>
      <c r="E25" s="8" t="inlineStr">
        <is>
          <t>No</t>
        </is>
      </c>
    </row>
    <row r="26" ht="34" customHeight="1">
      <c r="A26" s="8" t="inlineStr">
        <is>
          <t>Pervidi Mining</t>
        </is>
      </c>
      <c r="B26" s="8" t="inlineStr">
        <is>
          <t>Techs4Biz</t>
        </is>
      </c>
      <c r="C26" s="8" t="inlineStr">
        <is>
          <t>Inspections</t>
        </is>
      </c>
      <c r="D26" s="8" t="inlineStr">
        <is>
          <t>Mobile inspection and compliance with AI image recognition</t>
        </is>
      </c>
      <c r="E26" s="8" t="inlineStr">
        <is>
          <t>No</t>
        </is>
      </c>
    </row>
    <row r="27" ht="34" customHeight="1">
      <c r="A27" s="8" t="inlineStr">
        <is>
          <t>Inspectivity</t>
        </is>
      </c>
      <c r="B27" s="8" t="inlineStr">
        <is>
          <t>Inspectivity</t>
        </is>
      </c>
      <c r="C27" s="8" t="inlineStr">
        <is>
          <t>Inspections</t>
        </is>
      </c>
      <c r="D27" s="8" t="inlineStr">
        <is>
          <t>Digital inspection management for asset-centric workflows</t>
        </is>
      </c>
      <c r="E27" s="8" t="inlineStr">
        <is>
          <t>No</t>
        </is>
      </c>
    </row>
    <row r="28" ht="34" customHeight="1">
      <c r="A28" s="8" t="inlineStr">
        <is>
          <t>Dashpivot</t>
        </is>
      </c>
      <c r="B28" s="8" t="inlineStr">
        <is>
          <t>Sitemate</t>
        </is>
      </c>
      <c r="C28" s="8" t="inlineStr">
        <is>
          <t>Field records</t>
        </is>
      </c>
      <c r="D28" s="8" t="inlineStr">
        <is>
          <t>Consolidated field records, timesheets and incident reports</t>
        </is>
      </c>
      <c r="E28" s="8" t="inlineStr">
        <is>
          <t>No</t>
        </is>
      </c>
    </row>
    <row r="29" ht="34" customHeight="1">
      <c r="A29" s="8" t="inlineStr">
        <is>
          <t>Borealis</t>
        </is>
      </c>
      <c r="B29" s="8" t="inlineStr">
        <is>
          <t>Borealis</t>
        </is>
      </c>
      <c r="C29" s="8" t="inlineStr">
        <is>
          <t>Stakeholder engagement</t>
        </is>
      </c>
      <c r="D29" s="8" t="inlineStr">
        <is>
          <t>Social investment, grievance management, land management</t>
        </is>
      </c>
      <c r="E29" s="8" t="inlineStr">
        <is>
          <t>Yes — and arguably better in public hands</t>
        </is>
      </c>
    </row>
    <row r="30" ht="34" customHeight="1">
      <c r="A30" s="8" t="inlineStr">
        <is>
          <t>4site</t>
        </is>
      </c>
      <c r="B30" s="8" t="inlineStr">
        <is>
          <t>fsc</t>
        </is>
      </c>
      <c r="C30" s="8" t="inlineStr">
        <is>
          <t>Asset management</t>
        </is>
      </c>
      <c r="D30" s="8" t="inlineStr">
        <is>
          <t>Maintenance, purchasing, inventory and accounting</t>
        </is>
      </c>
      <c r="E30" s="8" t="inlineStr">
        <is>
          <t>No</t>
        </is>
      </c>
    </row>
    <row r="31" ht="34" customHeight="1">
      <c r="A31" s="8" t="inlineStr">
        <is>
          <t>FrameworX</t>
        </is>
      </c>
      <c r="B31" s="8" t="inlineStr">
        <is>
          <t>Tatsoft</t>
        </is>
      </c>
      <c r="C31" s="8" t="inlineStr">
        <is>
          <t>SCADA / IIoT</t>
        </is>
      </c>
      <c r="D31" s="8" t="inlineStr">
        <is>
          <t>Industrial control combining operations, data and AI</t>
        </is>
      </c>
      <c r="E31" s="8" t="inlineStr">
        <is>
          <t>No</t>
        </is>
      </c>
    </row>
    <row r="32" ht="34" customHeight="1">
      <c r="A32" s="8" t="inlineStr">
        <is>
          <t>MineTwin</t>
        </is>
      </c>
      <c r="B32" s="8" t="inlineStr">
        <is>
          <t>MineTwin</t>
        </is>
      </c>
      <c r="C32" s="8" t="inlineStr">
        <is>
          <t>Simulation</t>
        </is>
      </c>
      <c r="D32" s="8" t="inlineStr">
        <is>
          <t>Digital twins for decision support</t>
        </is>
      </c>
      <c r="E32" s="8" t="inlineStr">
        <is>
          <t>No</t>
        </is>
      </c>
    </row>
    <row r="33" ht="34" customHeight="1">
      <c r="A33" s="8" t="inlineStr">
        <is>
          <t>EarthCache</t>
        </is>
      </c>
      <c r="B33" s="8" t="inlineStr">
        <is>
          <t>SkyWatch</t>
        </is>
      </c>
      <c r="C33" s="8" t="inlineStr">
        <is>
          <t>EO access</t>
        </is>
      </c>
      <c r="D33" s="8" t="inlineStr">
        <is>
          <t>API access to satellite Earth observation data</t>
        </is>
      </c>
      <c r="E33" s="8" t="inlineStr">
        <is>
          <t>Yes — this is what CDSE provides for free</t>
        </is>
      </c>
    </row>
    <row r="34" ht="34" customHeight="1">
      <c r="A34" s="8" t="inlineStr">
        <is>
          <t>Chemical/EAM others (Surfer, BAM!, etc.)</t>
        </is>
      </c>
      <c r="B34" s="8" t="inlineStr">
        <is>
          <t>various</t>
        </is>
      </c>
      <c r="C34" s="8" t="inlineStr">
        <is>
          <t>Support</t>
        </is>
      </c>
      <c r="D34" s="8" t="inlineStr">
        <is>
          <t>—</t>
        </is>
      </c>
      <c r="E34" s="8" t="inlineStr">
        <is>
          <t>—</t>
        </is>
      </c>
    </row>
    <row r="36">
      <c r="A36" s="4" t="inlineStr">
        <is>
          <t>Broader market context — not from the SourceForge page itself</t>
        </is>
      </c>
    </row>
    <row r="37">
      <c r="A37" s="9" t="inlineStr">
        <is>
          <t>The consolidated platforms behind the mine-planning and fleet layers the report says are NOT mirrorable (rows 10-12 of the Capability mirror sheet). Listed for completeness of the market picture, not as a gap this architecture tries to close.</t>
        </is>
      </c>
    </row>
    <row r="39" ht="34" customHeight="1">
      <c r="A39" s="8" t="inlineStr">
        <is>
          <t>Deswik Suite</t>
        </is>
      </c>
      <c r="B39" s="8" t="inlineStr">
        <is>
          <t>Sandvik</t>
        </is>
      </c>
      <c r="C39" s="8" t="inlineStr">
        <is>
          <t>Mine design and scheduling</t>
        </is>
      </c>
      <c r="D39" s="8" t="inlineStr">
        <is>
          <t>Integrated mine planning, scheduling and geology</t>
        </is>
      </c>
      <c r="E39" s="8" t="inlineStr">
        <is>
          <t>No</t>
        </is>
      </c>
    </row>
    <row r="40" ht="34" customHeight="1">
      <c r="A40" s="8" t="inlineStr">
        <is>
          <t>Datamine</t>
        </is>
      </c>
      <c r="B40" s="8" t="inlineStr">
        <is>
          <t>Constellation Software</t>
        </is>
      </c>
      <c r="C40" s="8" t="inlineStr">
        <is>
          <t>Mine design and resource modelling</t>
        </is>
      </c>
      <c r="D40" s="8" t="inlineStr">
        <is>
          <t>Geology, resource estimation, mine planning and scheduling</t>
        </is>
      </c>
      <c r="E40" s="8" t="inlineStr">
        <is>
          <t>No</t>
        </is>
      </c>
    </row>
    <row r="41" ht="34" customHeight="1">
      <c r="A41" s="8" t="inlineStr">
        <is>
          <t>Vulcan</t>
        </is>
      </c>
      <c r="B41" s="8" t="inlineStr">
        <is>
          <t>Trimble</t>
        </is>
      </c>
      <c r="C41" s="8" t="inlineStr">
        <is>
          <t>Mine design and resource modelling</t>
        </is>
      </c>
      <c r="D41" s="8" t="inlineStr">
        <is>
          <t>3-D geological modelling, resource estimation and mine planning</t>
        </is>
      </c>
      <c r="E41" s="8" t="inlineStr">
        <is>
          <t>No</t>
        </is>
      </c>
    </row>
    <row r="42" ht="34" customHeight="1">
      <c r="A42" s="8" t="inlineStr">
        <is>
          <t>Leapfrog / Seequent Evo</t>
        </is>
      </c>
      <c r="B42" s="8" t="inlineStr">
        <is>
          <t>Bentley Systems</t>
        </is>
      </c>
      <c r="C42" s="8" t="inlineStr">
        <is>
          <t>Geological modelling</t>
        </is>
      </c>
      <c r="D42" s="8" t="inlineStr">
        <is>
          <t>Implicit 3-D geological and resource modelling</t>
        </is>
      </c>
      <c r="E42" s="8" t="inlineStr">
        <is>
          <t>No</t>
        </is>
      </c>
    </row>
    <row r="43" ht="34" customHeight="1">
      <c r="A43" s="8" t="inlineStr">
        <is>
          <t>Micromine</t>
        </is>
      </c>
      <c r="B43" s="8" t="inlineStr">
        <is>
          <t>Weir Group</t>
        </is>
      </c>
      <c r="C43" s="8" t="inlineStr">
        <is>
          <t>Mine design and resource modelling</t>
        </is>
      </c>
      <c r="D43" s="8" t="inlineStr">
        <is>
          <t>Geology, mine design, scheduling and equipment monitoring</t>
        </is>
      </c>
      <c r="E43" s="8" t="inlineStr">
        <is>
          <t>No</t>
        </is>
      </c>
    </row>
    <row r="44" ht="34" customHeight="1">
      <c r="A44" s="8" t="inlineStr">
        <is>
          <t>Maptek Vulcan/BlastLogic/PointStudio</t>
        </is>
      </c>
      <c r="B44" s="8" t="inlineStr">
        <is>
          <t>Maptek</t>
        </is>
      </c>
      <c r="C44" s="8" t="inlineStr">
        <is>
          <t>Mine design and survey</t>
        </is>
      </c>
      <c r="D44" s="8" t="inlineStr">
        <is>
          <t>Geological modelling, blast design, laser-scan survey processing</t>
        </is>
      </c>
      <c r="E44" s="8" t="inlineStr">
        <is>
          <t>Survey extent only, via satellite in place of laser scan</t>
        </is>
      </c>
    </row>
    <row r="45" ht="34" customHeight="1">
      <c r="A45" s="8" t="inlineStr">
        <is>
          <t>Hexagon Mining (HxGN MinePlan)</t>
        </is>
      </c>
      <c r="B45" s="8" t="inlineStr">
        <is>
          <t>Hexagon AB</t>
        </is>
      </c>
      <c r="C45" s="8" t="inlineStr">
        <is>
          <t>Mine planning and autonomy</t>
        </is>
      </c>
      <c r="D45" s="8" t="inlineStr">
        <is>
          <t>Mine planning, fleet management, autonomous-haulage integration</t>
        </is>
      </c>
      <c r="E45" s="8" t="inlineStr">
        <is>
          <t>No</t>
        </is>
      </c>
    </row>
    <row r="46" ht="34" customHeight="1">
      <c r="A46" s="8" t="inlineStr">
        <is>
          <t>Cat MineStar</t>
        </is>
      </c>
      <c r="B46" s="8" t="inlineStr">
        <is>
          <t>Caterpillar</t>
        </is>
      </c>
      <c r="C46" s="8" t="inlineStr">
        <is>
          <t>Fleet management and autonomy</t>
        </is>
      </c>
      <c r="D46" s="8" t="inlineStr">
        <is>
          <t>Fleet dispatch, terrain, detect and health monitoring for Cat equipment</t>
        </is>
      </c>
      <c r="E46" s="8" t="inlineStr">
        <is>
          <t>No</t>
        </is>
      </c>
    </row>
    <row r="47" ht="34" customHeight="1">
      <c r="A47" s="8" t="inlineStr">
        <is>
          <t>Modular Mining (DISPATCH)</t>
        </is>
      </c>
      <c r="B47" s="8" t="inlineStr">
        <is>
          <t>Komatsu</t>
        </is>
      </c>
      <c r="C47" s="8" t="inlineStr">
        <is>
          <t>Fleet management</t>
        </is>
      </c>
      <c r="D47" s="8" t="inlineStr">
        <is>
          <t>Real-time fleet dispatch and production tracking</t>
        </is>
      </c>
      <c r="E47" s="8" t="inlineStr">
        <is>
          <t>No</t>
        </is>
      </c>
    </row>
    <row r="48" ht="34" customHeight="1">
      <c r="A48" s="8" t="inlineStr">
        <is>
          <t>Wenco Mining Systems</t>
        </is>
      </c>
      <c r="B48" s="8" t="inlineStr">
        <is>
          <t>Hitachi Construction Machinery</t>
        </is>
      </c>
      <c r="C48" s="8" t="inlineStr">
        <is>
          <t>Fleet management</t>
        </is>
      </c>
      <c r="D48" s="8" t="inlineStr">
        <is>
          <t>Fleet management and autonomous-haulage system</t>
        </is>
      </c>
      <c r="E48" s="8" t="inlineStr">
        <is>
          <t>No</t>
        </is>
      </c>
    </row>
    <row r="50">
      <c r="A50" s="4" t="inlineStr">
        <is>
          <t>Market consolidation record</t>
        </is>
      </c>
    </row>
    <row r="51">
      <c r="A51" s="2" t="inlineStr">
        <is>
          <t>Global Mining Tech 50 (IMARC / Mines and Money)</t>
        </is>
      </c>
      <c r="B51" s="3" t="inlineStr">
        <is>
          <t>Top 50 vendors sold ~US$6.8 bn of mining/metals technology in 2025; +73.5% over five years.</t>
        </is>
      </c>
    </row>
    <row r="52">
      <c r="A52" s="2" t="inlineStr">
        <is>
          <t>Caterpillar → RPMGlobal</t>
        </is>
      </c>
      <c r="B52" s="3" t="inlineStr">
        <is>
          <t>~US$728–735 m; completed February 2026.</t>
        </is>
      </c>
    </row>
    <row r="53">
      <c r="A53" s="2" t="inlineStr">
        <is>
          <t>Weir → Micromine</t>
        </is>
      </c>
      <c r="B53" s="3" t="inlineStr">
        <is>
          <t>~US$840 m; completed April 2025.</t>
        </is>
      </c>
    </row>
    <row r="54">
      <c r="A54" s="2" t="inlineStr">
        <is>
          <t>Sandvik → Deswik</t>
        </is>
      </c>
      <c r="B54" s="3" t="inlineStr">
        <is>
          <t>Owned.</t>
        </is>
      </c>
    </row>
    <row r="55">
      <c r="A55" s="2" t="inlineStr">
        <is>
          <t>Bentley → Seequent</t>
        </is>
      </c>
      <c r="B55" s="3" t="inlineStr">
        <is>
          <t>Leapfrog, Evo.</t>
        </is>
      </c>
    </row>
    <row r="56">
      <c r="A56" s="2" t="inlineStr">
        <is>
          <t>Constellation Software</t>
        </is>
      </c>
      <c r="B56" s="3" t="inlineStr">
        <is>
          <t>30+ mining software firms acquired since 2011; flagship Datamine.</t>
        </is>
      </c>
    </row>
    <row r="57">
      <c r="A57" s="2" t="inlineStr">
        <is>
          <t>Epiroc</t>
        </is>
      </c>
      <c r="B57" s="3" t="inlineStr">
        <is>
          <t>13 mining-technology firms acquired since 2021.</t>
        </is>
      </c>
    </row>
    <row r="58">
      <c r="A58" s="2" t="inlineStr">
        <is>
          <t>Implication for a regulator</t>
        </is>
      </c>
      <c r="B58" s="3" t="inlineStr">
        <is>
          <t>Planning, execution and reporting increasingly sit inside one commercial relationship, and the interfaces between them are not public.</t>
        </is>
      </c>
    </row>
  </sheetData>
  <mergeCells count="1">
    <mergeCell ref="A37:E37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34" customWidth="1" min="3" max="3"/>
    <col width="30" customWidth="1" min="4" max="4"/>
    <col width="34" customWidth="1" min="5" max="5"/>
    <col width="34" customWidth="1" min="6" max="6"/>
    <col width="46" customWidth="1" min="7" max="7"/>
  </cols>
  <sheetData>
    <row r="1">
      <c r="A1" s="5" t="inlineStr">
        <is>
          <t>Jurisdictions</t>
        </is>
      </c>
    </row>
    <row r="2">
      <c r="A2" s="6" t="inlineStr">
        <is>
          <t>The registries and legal hooks a deployment needs per country: cadastre, production/royalty disclosure, protected-area and dam-safety registers, and the due-process basis. Verified 19 Aug 2026 from each register's own site — re-verify before procurement, since several of these systems are mid-reform.</t>
        </is>
      </c>
    </row>
    <row r="4">
      <c r="A4" s="7" t="inlineStr">
        <is>
          <t>Jurisdiction</t>
        </is>
      </c>
      <c r="B4" s="7" t="inlineStr">
        <is>
          <t>Title / cadastre registry</t>
        </is>
      </c>
      <c r="C4" s="7" t="inlineStr">
        <is>
          <t>Production or royalty disclosure</t>
        </is>
      </c>
      <c r="D4" s="7" t="inlineStr">
        <is>
          <t>Protected-area / environmental register</t>
        </is>
      </c>
      <c r="E4" s="7" t="inlineStr">
        <is>
          <t>Dam-safety regime</t>
        </is>
      </c>
      <c r="F4" s="7" t="inlineStr">
        <is>
          <t>Due-process legal basis</t>
        </is>
      </c>
      <c r="G4" s="7" t="inlineStr">
        <is>
          <t>Notes</t>
        </is>
      </c>
    </row>
    <row r="5" ht="74" customHeight="1">
      <c r="A5" s="8" t="inlineStr">
        <is>
          <t>Brazil</t>
        </is>
      </c>
      <c r="B5" s="8" t="inlineStr">
        <is>
          <t>ANM SIGMINE + Cadastro Mineiro (daily, SHP/KML)</t>
        </is>
      </c>
      <c r="C5" s="8" t="inlineStr">
        <is>
          <t>CFEM (royalties) + Anuário Mineral Brasileiro (production)</t>
        </is>
      </c>
      <c r="D5" s="8" t="inlineStr">
        <is>
          <t>CNUC (conservation units); FUNAI (Indigenous Lands)</t>
        </is>
      </c>
      <c r="E5" s="8" t="inlineStr">
        <is>
          <t>SIGBM under Lei 12.334/2010 + Lei 14.066/2020 (PNSB)</t>
        </is>
      </c>
      <c r="F5" s="8" t="inlineStr">
        <is>
          <t>CF/88 art. 5 LIV/LV; Lei 9.784/1999; Lei 9.605/1998; Lei 12.527/2011 (LAI)</t>
        </is>
      </c>
      <c r="G5" s="8" t="inlineStr">
        <is>
          <t>The strongest combination in this table: polygon, royalty, dam and access-to-information regimes are all open and machine-readable today.</t>
        </is>
      </c>
    </row>
    <row r="6" ht="74" customHeight="1">
      <c r="A6" s="8" t="inlineStr">
        <is>
          <t>European Union (member states)</t>
        </is>
      </c>
      <c r="B6" s="8" t="inlineStr">
        <is>
          <t>National cadastres under Reg. (EU) 2023/138 high-value datasets</t>
        </is>
      </c>
      <c r="C6" s="8" t="inlineStr">
        <is>
          <t>EU Accounting Directive Ch. 10 (payments to governments)</t>
        </is>
      </c>
      <c r="D6" s="8" t="inlineStr">
        <is>
          <t>Natura 2000 / national protected-area registers under Directives 92/43/EEC, 2009/147/EC</t>
        </is>
      </c>
      <c r="E6" s="8" t="inlineStr">
        <is>
          <t>Directive 2006/21/EC (extractive waste); national dam-safety law</t>
        </is>
      </c>
      <c r="F6" s="8" t="inlineStr">
        <is>
          <t>EU Charter arts. 41/47; Directive 2003/4/EC (environmental information); Aarhus Convention</t>
        </is>
      </c>
      <c r="G6" s="8" t="inlineStr">
        <is>
          <t>The Union has legislated the supply side directly: HVD compliance was due ~mid-2024, ahead of most jurisdictions in this table.</t>
        </is>
      </c>
    </row>
    <row r="7" ht="74" customHeight="1">
      <c r="A7" s="8" t="inlineStr">
        <is>
          <t>Peru</t>
        </is>
      </c>
      <c r="B7" s="8" t="inlineStr">
        <is>
          <t>INGEMMET GEOCATMIN / e-Catastro Minero</t>
        </is>
      </c>
      <c r="C7" s="8" t="inlineStr">
        <is>
          <t>MINEM production statistics; REINFO for artisanal/small-scale formalisation</t>
        </is>
      </c>
      <c r="D7" s="8" t="inlineStr">
        <is>
          <t>SERNANP (protected natural areas)</t>
        </is>
      </c>
      <c r="E7" s="8" t="inlineStr">
        <is>
          <t>ANA / ANM (Peru) dam oversight — supervision less centralised than Brazil's SIGBM</t>
        </is>
      </c>
      <c r="F7" s="8" t="inlineStr">
        <is>
          <t>Ley del Procedimiento Administrativo General (Ley 27444); constitutional due process</t>
        </is>
      </c>
      <c r="G7" s="8" t="inlineStr">
        <is>
          <t>REINFO's formalisation-in-progress status is itself a signal worth screening: activity outside any REINFO or concession polygon is unambiguous.</t>
        </is>
      </c>
    </row>
    <row r="8" ht="74" customHeight="1">
      <c r="A8" s="8" t="inlineStr">
        <is>
          <t>Chile</t>
        </is>
      </c>
      <c r="B8" s="8" t="inlineStr">
        <is>
          <t>SERNAGEOMIN Catastro Minero Online (pertenencias)</t>
        </is>
      </c>
      <c r="C8" s="8" t="inlineStr">
        <is>
          <t>SERNAGEOMIN production statistics; Servicio de Impuestos Internos royalty filings</t>
        </is>
      </c>
      <c r="D8" s="8" t="inlineStr">
        <is>
          <t>SNASPE / Ministerio del Medio Ambiente protected areas</t>
        </is>
      </c>
      <c r="E8" s="8" t="inlineStr">
        <is>
          <t>SERNAGEOMIN relaves (tailings) registry, tightened after Ley 21.430 and post-2019 reforms</t>
        </is>
      </c>
      <c r="F8" s="8" t="inlineStr">
        <is>
          <t>Ley 19.880 (bases de procedimientos administrativos)</t>
        </is>
      </c>
      <c r="G8" s="8" t="inlineStr">
        <is>
          <t>One of the more mature Latin American cadastres; pair with the relaves registry for the dam-safety layer.</t>
        </is>
      </c>
    </row>
    <row r="9" ht="74" customHeight="1">
      <c r="A9" s="8" t="inlineStr">
        <is>
          <t>Democratic Republic of Congo</t>
        </is>
      </c>
      <c r="B9" s="8" t="inlineStr">
        <is>
          <t>CAMI Cadastre Minier web portal</t>
        </is>
      </c>
      <c r="C9" s="8" t="inlineStr">
        <is>
          <t>Ministry of Mines statistics; EITI-DRC reports</t>
        </is>
      </c>
      <c r="D9" s="8" t="inlineStr">
        <is>
          <t>ICCN (protected areas)</t>
        </is>
      </c>
      <c r="E9" s="8" t="inlineStr">
        <is>
          <t>No centralised public dam registry identified — treat as a gap to flag, not to assume covered</t>
        </is>
      </c>
      <c r="F9" s="8" t="inlineStr">
        <is>
          <t>Loi minière (as revised); constitutional due-process guarantees</t>
        </is>
      </c>
      <c r="G9" s="8" t="inlineStr">
        <is>
          <t>Verify current polygon vintage before boundary work; CAMI has run since the 2010s but update cadence is not published to the standard SIGMINE sets.</t>
        </is>
      </c>
    </row>
    <row r="10" ht="74" customHeight="1">
      <c r="A10" s="8" t="inlineStr">
        <is>
          <t>Ghana</t>
        </is>
      </c>
      <c r="B10" s="8" t="inlineStr">
        <is>
          <t>Minerals Commission Mining Cadastre (MCAS) + Ghana Mining Repository</t>
        </is>
      </c>
      <c r="C10" s="8" t="inlineStr">
        <is>
          <t>Minerals Commission / GRA royalty statistics; EITI-Ghana reports</t>
        </is>
      </c>
      <c r="D10" s="8" t="inlineStr">
        <is>
          <t>Forestry Commission reserves; EPA environmental permits</t>
        </is>
      </c>
      <c r="E10" s="8" t="inlineStr">
        <is>
          <t>Ghana has no SIGBM-scale public tailings register identified — a gap</t>
        </is>
      </c>
      <c r="F10" s="8" t="inlineStr">
        <is>
          <t>Constitution art. 23 (administrative justice); Minerals and Mining Act 2006 (Act 703)</t>
        </is>
      </c>
      <c r="G10" s="8" t="inlineStr">
        <is>
          <t>The Ghana Mining Repository publishes licence and payment data in a more analysis-ready form than the cadastre portal itself.</t>
        </is>
      </c>
    </row>
    <row r="11" ht="74" customHeight="1">
      <c r="A11" s="8" t="inlineStr">
        <is>
          <t>South Africa</t>
        </is>
      </c>
      <c r="B11" s="8" t="inlineStr">
        <is>
          <t>SAMRAD (rights) — CAUTION: independent reporting through 2026 describes it as unreliable, with a replacement system delayed</t>
        </is>
      </c>
      <c r="C11" s="8" t="inlineStr">
        <is>
          <t>DMPR statistics; Mining Charter reporting; EITI is not implemented in South Africa</t>
        </is>
      </c>
      <c r="D11" s="8" t="inlineStr">
        <is>
          <t>SANParks / provincial conservation agencies</t>
        </is>
      </c>
      <c r="E11" s="8" t="inlineStr">
        <is>
          <t>Department publishes a dam-safety framework; no public per-structure register at SIGBM's granularity identified</t>
        </is>
      </c>
      <c r="F11" s="8" t="inlineStr">
        <is>
          <t>Constitution s. 33 (just administrative action); Promotion of Administrative Justice Act 3 of 2000</t>
        </is>
      </c>
      <c r="G11" s="8" t="inlineStr">
        <is>
          <t>Treat any SAMRAD title status as a lead to confirm through a parallel channel, not a fact to act on, until the cadastre replacement lands.</t>
        </is>
      </c>
    </row>
    <row r="12" ht="74" customHeight="1">
      <c r="A12" s="8" t="inlineStr">
        <is>
          <t>Indonesia</t>
        </is>
      </c>
      <c r="B12" s="8" t="inlineStr">
        <is>
          <t>MinerbaOne / MODI (Kementerian ESDM) — mid-migration between systems</t>
        </is>
      </c>
      <c r="C12" s="8" t="inlineStr">
        <is>
          <t>RKAB work-plan and production filings via the same portal</t>
        </is>
      </c>
      <c r="D12" s="8" t="inlineStr">
        <is>
          <t>KLHK forestry/environmental permit and forest-cover layers</t>
        </is>
      </c>
      <c r="E12" s="8" t="inlineStr">
        <is>
          <t>No centralised public tailings-dam register identified at SIGBM's granularity</t>
        </is>
      </c>
      <c r="F12" s="8" t="inlineStr">
        <is>
          <t>UU No. 30/2014 (administrasi pemerintahan); constitutional due process</t>
        </is>
      </c>
      <c r="G12" s="8" t="inlineStr">
        <is>
          <t>Confirm which endpoint (legacy MODI vs MinerbaOne) is live before integrating; the ministry has been actively migrating filings during 2026.</t>
        </is>
      </c>
    </row>
    <row r="13" ht="74" customHeight="1">
      <c r="A13" s="8" t="inlineStr">
        <is>
          <t>Australia (Commonwealth + states)</t>
        </is>
      </c>
      <c r="B13" s="8" t="inlineStr">
        <is>
          <t>State-run cadastres — e.g. Geoscience Australia national context plus state systems (WA Tengraph, NSW MinView, Qld MyMinesOnline)</t>
        </is>
      </c>
      <c r="C13" s="8" t="inlineStr">
        <is>
          <t>State royalty statistics; ASX continuous-disclosure filings for listed operators</t>
        </is>
      </c>
      <c r="D13" s="8" t="inlineStr">
        <is>
          <t>CAPAD (protected areas database, DCCEEW)</t>
        </is>
      </c>
      <c r="E13" s="8" t="inlineStr">
        <is>
          <t>State-based dam-safety regulation (e.g. Qld's dam-safety regime); no single national register</t>
        </is>
      </c>
      <c r="F13" s="8" t="inlineStr">
        <is>
          <t>Administrative Decisions (Judicial Review) Act 1977; state equivalents</t>
        </is>
      </c>
      <c r="G13" s="8" t="inlineStr">
        <is>
          <t>Mining regulation is state-run — a deployment needs one connector per state cadastre rather than one national feed, unlike Brazil or the EU HVD regime.</t>
        </is>
      </c>
    </row>
    <row r="14" ht="74" customHeight="1">
      <c r="A14" s="8" t="inlineStr">
        <is>
          <t>Canada (Federal + provinces)</t>
        </is>
      </c>
      <c r="B14" s="8" t="inlineStr">
        <is>
          <t>Provincial mineral-claim registries (e.g. Ontario Mining Lands Administration System, BC Mineral Titles Online)</t>
        </is>
      </c>
      <c r="C14" s="8" t="inlineStr">
        <is>
          <t>ESTMA (payments to governments); provincial royalty statistics</t>
        </is>
      </c>
      <c r="D14" s="8" t="inlineStr">
        <is>
          <t>CPCAD (Canadian protected and conserved areas database)</t>
        </is>
      </c>
      <c r="E14" s="8" t="inlineStr">
        <is>
          <t>Provincial dam-safety regulation; federal oversight for tailings under CEPA/Fisheries Act for water impacts</t>
        </is>
      </c>
      <c r="F14" s="8" t="inlineStr">
        <is>
          <t>Canadian Charter s. 7; provincial administrative-procedure statutes</t>
        </is>
      </c>
      <c r="G14" s="8" t="inlineStr">
        <is>
          <t>ESTMA is one of the cleanest cross-filing checks available anywhere in this table — federal, standardised, and already machine-readable.</t>
        </is>
      </c>
    </row>
    <row r="15" ht="74" customHeight="1">
      <c r="A15" s="8" t="inlineStr">
        <is>
          <t>United States</t>
        </is>
      </c>
      <c r="B15" s="8" t="inlineStr">
        <is>
          <t>BLM LR2000 (federal claims) + state-level programs</t>
        </is>
      </c>
      <c r="C15" s="8" t="inlineStr">
        <is>
          <t>USGS Mineral Commodity Summaries; SEC filings for listed operators</t>
        </is>
      </c>
      <c r="D15" s="8" t="inlineStr">
        <is>
          <t>PAD-US (Protected Areas Database of the US)</t>
        </is>
      </c>
      <c r="E15" s="8" t="inlineStr">
        <is>
          <t>State dam-safety programs; federal oversight limited outside listed structures</t>
        </is>
      </c>
      <c r="F15" s="8" t="inlineStr">
        <is>
          <t>Administrative Procedure Act (5 U.S.C. §551 et seq.); Fifth/Fourteenth Amendment due process</t>
        </is>
      </c>
      <c r="G15" s="8" t="inlineStr">
        <is>
          <t>No federal mining cadastre equivalent to SIGMINE; claims are federal (BLM) but permitting and much reporting is state-level, so coverage is uneven by state.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3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3" customWidth="1" min="3" max="3"/>
    <col width="62" customWidth="1" min="4" max="4"/>
  </cols>
  <sheetData>
    <row r="1">
      <c r="A1" s="5" t="inlineStr">
        <is>
          <t>Data volume against the Copernicus free-tier quota</t>
        </is>
      </c>
    </row>
    <row r="2">
      <c r="A2" s="9" t="inlineStr">
        <is>
          <t>Edit the yellow cells. Everything else is calculated. Quota figures are as published at documentation.dataspace.copernicus.eu/Quotas.html and were checked on 19 Aug 2026.</t>
        </is>
      </c>
    </row>
    <row r="4">
      <c r="A4" s="4" t="inlineStr">
        <is>
          <t>INPUTS</t>
        </is>
      </c>
    </row>
    <row r="5">
      <c r="A5" s="2" t="inlineStr">
        <is>
          <t>Sites monitored</t>
        </is>
      </c>
      <c r="B5" s="10" t="n">
        <v>500</v>
      </c>
      <c r="D5" s="9" t="inlineStr">
        <is>
          <t>Tier 1 ≈ 20; Tier 2 ≈ 500; Tier 3 = the full cadastre</t>
        </is>
      </c>
    </row>
    <row r="6">
      <c r="A6" s="2" t="inlineStr">
        <is>
          <t>Mean site area (ha)</t>
        </is>
      </c>
      <c r="B6" s="10" t="n">
        <v>1200</v>
      </c>
      <c r="D6" s="9" t="inlineStr">
        <is>
          <t>Licence polygon plus a 1 km assessment apron</t>
        </is>
      </c>
    </row>
    <row r="7">
      <c r="A7" s="2" t="inlineStr">
        <is>
          <t>Sentinel-2 bands retained</t>
        </is>
      </c>
      <c r="B7" s="10" t="n">
        <v>6</v>
      </c>
      <c r="D7" s="9" t="inlineStr">
        <is>
          <t>The library needs six: B02 B03 B04 B08 B11 B12</t>
        </is>
      </c>
    </row>
    <row r="8">
      <c r="A8" s="2" t="inlineStr">
        <is>
          <t>Bytes per pixel per band</t>
        </is>
      </c>
      <c r="B8" s="10" t="n">
        <v>2</v>
      </c>
      <c r="D8" s="9" t="inlineStr">
        <is>
          <t>uint16</t>
        </is>
      </c>
    </row>
    <row r="9">
      <c r="A9" s="2" t="inlineStr">
        <is>
          <t>Acquisitions composited per month</t>
        </is>
      </c>
      <c r="B9" s="10" t="n">
        <v>6</v>
      </c>
      <c r="D9" s="9" t="inlineStr">
        <is>
          <t>5-day revisit ⇒ about six per month</t>
        </is>
      </c>
    </row>
    <row r="10">
      <c r="A10" s="2" t="inlineStr">
        <is>
          <t>Months of history to backfill</t>
        </is>
      </c>
      <c r="B10" s="10" t="n">
        <v>130</v>
      </c>
      <c r="D10" s="9" t="inlineStr">
        <is>
          <t>2015 to date is roughly 130 months</t>
        </is>
      </c>
    </row>
    <row r="11">
      <c r="A11" s="2" t="inlineStr">
        <is>
          <t>Compression ratio achieved</t>
        </is>
      </c>
      <c r="B11" s="11" t="n">
        <v>2.5</v>
      </c>
      <c r="D11" s="9" t="inlineStr">
        <is>
          <t>COG with DEFLATE on 10 m reflectance</t>
        </is>
      </c>
    </row>
    <row r="13">
      <c r="A13" s="4" t="inlineStr">
        <is>
          <t>PUBLISHED FREE-TIER QUOTAS</t>
        </is>
      </c>
    </row>
    <row r="14">
      <c r="A14" s="2" t="inlineStr">
        <is>
          <t>S3 / OData / STAC transfer, per rolling 30 days (TB)</t>
        </is>
      </c>
      <c r="B14" s="11" t="n">
        <v>12</v>
      </c>
    </row>
    <row r="15">
      <c r="A15" s="2" t="inlineStr">
        <is>
          <t>Direct COG requests per month</t>
        </is>
      </c>
      <c r="B15" s="10" t="n">
        <v>50000</v>
      </c>
    </row>
    <row r="16">
      <c r="A16" s="2" t="inlineStr">
        <is>
          <t>Sentinel Hub requests per month</t>
        </is>
      </c>
      <c r="B16" s="10" t="n">
        <v>10000</v>
      </c>
    </row>
    <row r="17">
      <c r="A17" s="2" t="inlineStr">
        <is>
          <t>Sentinel Hub processing units per month</t>
        </is>
      </c>
      <c r="B17" s="10" t="n">
        <v>10000</v>
      </c>
    </row>
    <row r="19">
      <c r="A19" s="4" t="inlineStr">
        <is>
          <t>CALCULATED</t>
        </is>
      </c>
    </row>
    <row r="20">
      <c r="A20" s="2" t="inlineStr">
        <is>
          <t>Pixels per site (10 m)</t>
        </is>
      </c>
      <c r="B20" s="12">
        <f>B6*10000/100</f>
        <v/>
      </c>
    </row>
    <row r="21">
      <c r="A21" s="2" t="inlineStr">
        <is>
          <t>Bytes per site per acquisition</t>
        </is>
      </c>
      <c r="B21" s="12">
        <f>B20*B7*B8</f>
        <v/>
      </c>
    </row>
    <row r="22">
      <c r="A22" s="2" t="inlineStr">
        <is>
          <t>GB per month, all sites, uncompressed</t>
        </is>
      </c>
      <c r="B22" s="13">
        <f>B21*B9*B5/1024/1024/1024</f>
        <v/>
      </c>
    </row>
    <row r="23">
      <c r="A23" s="2" t="inlineStr">
        <is>
          <t>GB per month, all sites, compressed</t>
        </is>
      </c>
      <c r="B23" s="13">
        <f>IF(B11=0,B22,B22/B11)</f>
        <v/>
      </c>
    </row>
    <row r="24">
      <c r="A24" s="2" t="inlineStr">
        <is>
          <t>TB per month, compressed</t>
        </is>
      </c>
      <c r="B24" s="14">
        <f>B23/1024</f>
        <v/>
      </c>
    </row>
    <row r="25">
      <c r="A25" s="2" t="inlineStr">
        <is>
          <t>Share of the 12 TB / 30-day transfer quota</t>
        </is>
      </c>
      <c r="B25" s="15">
        <f>IFERROR(B24/B14,0)</f>
        <v/>
      </c>
    </row>
    <row r="26">
      <c r="A26" s="2" t="inlineStr">
        <is>
          <t>One-off backfill volume (TB, compressed)</t>
        </is>
      </c>
      <c r="B26" s="16">
        <f>B24*B10</f>
        <v/>
      </c>
    </row>
    <row r="27">
      <c r="A27" s="2" t="inlineStr">
        <is>
          <t>Months to backfill inside quota</t>
        </is>
      </c>
      <c r="B27" s="16">
        <f>IFERROR(B26/B14,0)</f>
        <v/>
      </c>
    </row>
    <row r="28">
      <c r="A28" s="2" t="inlineStr">
        <is>
          <t>Local storage for the backfill (TB)</t>
        </is>
      </c>
      <c r="B28" s="16">
        <f>B26</f>
        <v/>
      </c>
    </row>
    <row r="29">
      <c r="A29" s="2" t="inlineStr">
        <is>
          <t>Distinct S2 tiles touched (whole-granule alternative)</t>
        </is>
      </c>
      <c r="B29" s="10" t="n">
        <v>150</v>
      </c>
      <c r="D29" s="9" t="inlineStr">
        <is>
          <t>If a deployment pulls whole granules instead of clipping to the AOI with COG range requests. Still inside quota, but ~600x the traffic.</t>
        </is>
      </c>
    </row>
    <row r="30">
      <c r="A30" s="2" t="inlineStr">
        <is>
          <t>Whole-granule traffic (TB/month)</t>
        </is>
      </c>
      <c r="B30" s="13">
        <f>B29*B9*1/1024</f>
        <v/>
      </c>
      <c r="D30" s="9" t="inlineStr">
        <is>
          <t>Assumes ~1 GB per L2A granule.</t>
        </is>
      </c>
    </row>
    <row r="32">
      <c r="A32" s="4" t="inlineStr">
        <is>
          <t>COST</t>
        </is>
      </c>
    </row>
    <row r="33">
      <c r="A33" s="2" t="inlineStr">
        <is>
          <t>Imagery licence cost</t>
        </is>
      </c>
      <c r="B33" s="17" t="n">
        <v>0</v>
      </c>
      <c r="D33" s="6" t="inlineStr">
        <is>
          <t>Copernicus data is free, full and open. This cell is zero by policy, not by estimate.</t>
        </is>
      </c>
    </row>
    <row r="34">
      <c r="A34" s="2" t="inlineStr">
        <is>
          <t>Software licence cost</t>
        </is>
      </c>
      <c r="B34" s="17" t="n">
        <v>0</v>
      </c>
      <c r="D34" s="6" t="inlineStr">
        <is>
          <t>Every component in the 'Open source' sheet is OSI-licensed. Excludes support contracts, which a public body may still want.</t>
        </is>
      </c>
    </row>
    <row r="35">
      <c r="A35" s="2" t="inlineStr">
        <is>
          <t>Assumed storage cost per TB-month</t>
        </is>
      </c>
      <c r="B35" s="18" t="n">
        <v>18</v>
      </c>
    </row>
    <row r="36">
      <c r="A36" s="2" t="inlineStr">
        <is>
          <t>Annual storage cost</t>
        </is>
      </c>
      <c r="B36" s="17">
        <f>B28*B35*12</f>
        <v/>
      </c>
    </row>
    <row r="37">
      <c r="A37" s="2" t="inlineStr">
        <is>
          <t>Assumed compute cost per site-month</t>
        </is>
      </c>
      <c r="B37" s="19" t="n">
        <v>0.4</v>
      </c>
    </row>
    <row r="38">
      <c r="A38" s="2" t="inlineStr">
        <is>
          <t>Annual compute cost</t>
        </is>
      </c>
      <c r="B38" s="17">
        <f>B5*B37*12</f>
        <v/>
      </c>
    </row>
    <row r="39">
      <c r="A39" s="2" t="inlineStr">
        <is>
          <t>Annual infrastructure subtotal</t>
        </is>
      </c>
      <c r="B39" s="17">
        <f>B36+B38</f>
        <v/>
      </c>
    </row>
    <row r="41">
      <c r="A41" s="4" t="inlineStr">
        <is>
          <t>STAFF — the real cost</t>
        </is>
      </c>
    </row>
    <row r="42">
      <c r="A42" s="2" t="inlineStr">
        <is>
          <t>Analysts (triage)</t>
        </is>
      </c>
      <c r="B42" s="11" t="n">
        <v>2</v>
      </c>
    </row>
    <row r="43">
      <c r="A43" s="2" t="inlineStr">
        <is>
          <t>Technical officers (corroboration)</t>
        </is>
      </c>
      <c r="B43" s="11" t="n">
        <v>1</v>
      </c>
    </row>
    <row r="44">
      <c r="A44" s="2" t="inlineStr">
        <is>
          <t>Fully loaded cost per FTE per year</t>
        </is>
      </c>
      <c r="B44" s="18" t="n">
        <v>60000</v>
      </c>
    </row>
    <row r="45">
      <c r="A45" s="2" t="inlineStr">
        <is>
          <t>Annual staff cost</t>
        </is>
      </c>
      <c r="B45" s="17">
        <f>(B42+B43)*B44</f>
        <v/>
      </c>
    </row>
    <row r="46">
      <c r="A46" s="2" t="inlineStr">
        <is>
          <t>TOTAL annual cost</t>
        </is>
      </c>
      <c r="B46" s="20">
        <f>B39+B45</f>
        <v/>
      </c>
    </row>
    <row r="47">
      <c r="A47" s="2" t="inlineStr">
        <is>
          <t>Cost per site monitored per year</t>
        </is>
      </c>
      <c r="B47" s="17">
        <f>IFERROR(B46/B5,0)</f>
        <v/>
      </c>
    </row>
    <row r="48">
      <c r="A48" s="2" t="inlineStr">
        <is>
          <t>Sites per member of technical staff</t>
        </is>
      </c>
      <c r="B48" s="12">
        <f>IFERROR(B5/(B42+B43),0)</f>
        <v/>
      </c>
    </row>
    <row r="50">
      <c r="A50" s="4" t="inlineStr">
        <is>
          <t>Read the last two rows, not the total.</t>
        </is>
      </c>
    </row>
    <row r="51">
      <c r="A51" s="3" t="inlineStr">
        <is>
          <t>The argument this model supports is not that oversight becomes cheap. It is that the marginal cost of adding one more site to a monitoring programme is nearly zero, which is the opposite of the cost structure of physical inspection. The staff line dominates, and it should: this is a capacity programme, not a technology purchase.</t>
        </is>
      </c>
    </row>
    <row r="52"/>
    <row r="53"/>
  </sheetData>
  <mergeCells count="1">
    <mergeCell ref="A51:D5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2026-10-27T02:34:39Z</dcterms:created>
  <dcterms:modified xsi:type="dcterms:W3CDTF">2026-10-27T02:34:39Z</dcterms:modified>
</cp:coreProperties>
</file>