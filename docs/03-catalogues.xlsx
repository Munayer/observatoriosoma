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ublic data" sheetId="2" state="visible" r:id="rId4"/>
    <sheet name="Open source" sheetId="3" state="visible" r:id="rId5"/>
    <sheet name="Capability mirror" sheetId="4" state="visible" r:id="rId6"/>
    <sheet name="Commercial landscape" sheetId="5" state="visible" r:id="rId7"/>
    <sheet name="Jurisdictions" sheetId="6" state="visible" r:id="rId8"/>
    <sheet name="Cost mode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<sst xmlns="http://schemas.openxmlformats.org/spreadsheetml/2006/main" count="1338" uniqueCount="1029">
  <si>
    <t xml:space="preserve">MINERVA — reference catalogues</t>
  </si>
  <si>
    <t xml:space="preserve">Prepared for</t>
  </si>
  <si>
    <t xml:space="preserve">Bernardo Munayer</t>
  </si>
  <si>
    <t xml:space="preserve">Date</t>
  </si>
  <si>
    <t xml:space="preserve">19 August 2026</t>
  </si>
  <si>
    <t xml:space="preserve">Companion to</t>
  </si>
  <si>
    <t xml:space="preserve">00-MINERVA.md · minerva-report.html · minerva-dashboard.html</t>
  </si>
  <si>
    <t xml:space="preserve">What this workbook is</t>
  </si>
  <si>
    <t xml:space="preserve">Every public data source and every open-source component behind the proposed public-sector mining oversight platform, with licence, access method, cadence and maturity, so that a procurement or technical review can check the claims without reading the report.</t>
  </si>
  <si>
    <t xml:space="preserve">Sheets</t>
  </si>
  <si>
    <t xml:space="preserve">  Public data</t>
  </si>
  <si>
    <t xml:space="preserve">Free, reusable data an authority can obtain today. Columns include the question each source actually answers.</t>
  </si>
  <si>
    <t xml:space="preserve">  Open source</t>
  </si>
  <si>
    <t xml:space="preserve">Components to build with, with licence and a risk note where one applies.</t>
  </si>
  <si>
    <t xml:space="preserve">  Capability mirror</t>
  </si>
  <si>
    <t xml:space="preserve">Layer-by-layer comparison of what the operator sees against what a public body can see, including the layers that CANNOT be mirrored.</t>
  </si>
  <si>
    <t xml:space="preserve">  Commercial landscape</t>
  </si>
  <si>
    <t xml:space="preserve">The vendor products listed on the SourceForge page, sorted by function, plus the consolidation record.</t>
  </si>
  <si>
    <t xml:space="preserve">  Jurisdictions</t>
  </si>
  <si>
    <t xml:space="preserve">Cadastre, production/royalty disclosure, protected-area, dam-safety and due-process basis for twelve jurisdictions, so a deployment outside Brazil or the EU knows what to wire up.</t>
  </si>
  <si>
    <t xml:space="preserve">  Cost model</t>
  </si>
  <si>
    <t xml:space="preserve">A live model of data volume against the Copernicus free-tier quota. Edit the yellow cells.</t>
  </si>
  <si>
    <t xml:space="preserve">Verification status</t>
  </si>
  <si>
    <t xml:space="preserve">Licences and endpoints were checked on 19 August 2026 against primary sources. Re-verify before any procurement decision: licences change, and at least one component on the watch list changed during 2025-26.</t>
  </si>
  <si>
    <t xml:space="preserve">Colour convention</t>
  </si>
  <si>
    <t xml:space="preserve">Yellow fill with blue text = a cell you may edit. Black text = calculated. This follows the standard financial-model convention.</t>
  </si>
  <si>
    <t xml:space="preserve">Important</t>
  </si>
  <si>
    <t xml:space="preserve">Nothing in this workbook is a statement about any specific company or site. The prototype it accompanies runs on simulated imagery.</t>
  </si>
  <si>
    <t xml:space="preserve">Public data sources</t>
  </si>
  <si>
    <t xml:space="preserve">Free and reusable. Verified 19 Aug 2026 — re-verify before procurement.</t>
  </si>
  <si>
    <t xml:space="preserve">Source</t>
  </si>
  <si>
    <t xml:space="preserve">Category</t>
  </si>
  <si>
    <t xml:space="preserve">Publisher</t>
  </si>
  <si>
    <t xml:space="preserve">Coverage</t>
  </si>
  <si>
    <t xml:space="preserve">Resolution / detail</t>
  </si>
  <si>
    <t xml:space="preserve">Cadence / latency</t>
  </si>
  <si>
    <t xml:space="preserve">Licence</t>
  </si>
  <si>
    <t xml:space="preserve">Access</t>
  </si>
  <si>
    <t xml:space="preserve">Endpoint or DOI</t>
  </si>
  <si>
    <t xml:space="preserve">Question it answers</t>
  </si>
  <si>
    <t xml:space="preserve">Notes</t>
  </si>
  <si>
    <t xml:space="preserve">Sentinel-2 L2A</t>
  </si>
  <si>
    <t xml:space="preserve">Earth observation — optical</t>
  </si>
  <si>
    <t xml:space="preserve">Copernicus / ESA</t>
  </si>
  <si>
    <t xml:space="preserve">Global</t>
  </si>
  <si>
    <t xml:space="preserve">13 bands: 4 at 10 m, 6 at 20 m, 3 at 60 m; 290 km swath</t>
  </si>
  <si>
    <t xml:space="preserve">5 days (2 sats), 2–3 days mid-latitude; archive from 2015</t>
  </si>
  <si>
    <t xml:space="preserve">Copernicus free, full and open</t>
  </si>
  <si>
    <t xml:space="preserve">STAC, OData, S3, Sentinel Hub, openEO</t>
  </si>
  <si>
    <t xml:space="preserve">catalogue.dataspace.copernicus.eu/stac</t>
  </si>
  <si>
    <t xml:space="preserve">How large is the disturbed surface, and where exactly is its edge?</t>
  </si>
  <si>
    <t xml:space="preserve">L2A offset of −1000 applies from processing baseline 04.00. Getting this wrong shifts every index.</t>
  </si>
  <si>
    <t xml:space="preserve">Sentinel-1 GRD/SLC</t>
  </si>
  <si>
    <t xml:space="preserve">Earth observation — radar</t>
  </si>
  <si>
    <t xml:space="preserve">C-band SAR, 5×20 m IW</t>
  </si>
  <si>
    <t xml:space="preserve">6–12 days; constellation 1A+1C+1D since Apr 2026</t>
  </si>
  <si>
    <t xml:space="preserve">STAC, OData, S3</t>
  </si>
  <si>
    <t xml:space="preserve">Is anything happening under cloud, or at night?</t>
  </si>
  <si>
    <t xml:space="preserve">The only reason tropical monitoring works at all. Sentinel-1B failed 2022; 1D data opened 17 Apr 2026.</t>
  </si>
  <si>
    <t xml:space="preserve">Sentinel-5P</t>
  </si>
  <si>
    <t xml:space="preserve">Earth observation — atmosphere</t>
  </si>
  <si>
    <t xml:space="preserve">~3.5×5.5 km; SO2, NO2, CO, CH4</t>
  </si>
  <si>
    <t xml:space="preserve">Daily</t>
  </si>
  <si>
    <t xml:space="preserve">STAC, OData</t>
  </si>
  <si>
    <t xml:space="preserve">Is a smelter or processing plant emitting?</t>
  </si>
  <si>
    <t xml:space="preserve">Far too coarse for a single pit. Useful at plant scale only.</t>
  </si>
  <si>
    <t xml:space="preserve">Copernicus DEM GLO-30</t>
  </si>
  <si>
    <t xml:space="preserve">Elevation</t>
  </si>
  <si>
    <t xml:space="preserve">Global (~149 M km²)</t>
  </si>
  <si>
    <t xml:space="preserve">30 m; absolute vertical &lt;4 m (90% LE); relative &lt;2 m on slopes ≤20%</t>
  </si>
  <si>
    <t xml:space="preserve">Static, versioned</t>
  </si>
  <si>
    <t xml:space="preserve">Free worldwide (ESA user licence)</t>
  </si>
  <si>
    <t xml:space="preserve">S3, OData, Copernicus Browser</t>
  </si>
  <si>
    <t xml:space="preserve">doi.org/10.5270/ESA-c5d3d65</t>
  </si>
  <si>
    <t xml:space="preserve">How much material has been moved?</t>
  </si>
  <si>
    <t xml:space="preserve">Makes volumetric estimation a public capability. EEA-10 (10 m) is restricted to defined user categories.</t>
  </si>
  <si>
    <t xml:space="preserve">NASADEM / SRTM</t>
  </si>
  <si>
    <t xml:space="preserve">NASA / USGS</t>
  </si>
  <si>
    <t xml:space="preserve">Global to 60°N/56°S</t>
  </si>
  <si>
    <t xml:space="preserve">30 m</t>
  </si>
  <si>
    <t xml:space="preserve">Static (2000 epoch)</t>
  </si>
  <si>
    <t xml:space="preserve">Public domain</t>
  </si>
  <si>
    <t xml:space="preserve">HTTP, AWS Open Data</t>
  </si>
  <si>
    <t xml:space="preserve">lpdaac.usgs.gov</t>
  </si>
  <si>
    <t xml:space="preserve">What did the ground look like before the boom?</t>
  </si>
  <si>
    <t xml:space="preserve">The only global pre-2010 elevation baseline.</t>
  </si>
  <si>
    <t xml:space="preserve">Landsat 8/9 Collection 2</t>
  </si>
  <si>
    <t xml:space="preserve">USGS / NASA</t>
  </si>
  <si>
    <t xml:space="preserve">30 m multispectral; 15 m pan</t>
  </si>
  <si>
    <t xml:space="preserve">8 days combined; archive from 1984</t>
  </si>
  <si>
    <t xml:space="preserve">STAC, AWS Open Data</t>
  </si>
  <si>
    <t xml:space="preserve">landsatlook.usgs.gov</t>
  </si>
  <si>
    <t xml:space="preserve">What was here before Sentinel-2 existed?</t>
  </si>
  <si>
    <t xml:space="preserve">Indispensable for establishing the pre-observation baseline.</t>
  </si>
  <si>
    <t xml:space="preserve">European Ground Motion Service</t>
  </si>
  <si>
    <t xml:space="preserve">Ground deformation</t>
  </si>
  <si>
    <t xml:space="preserve">Copernicus Land / EEA</t>
  </si>
  <si>
    <t xml:space="preserve">Copernicus participating states</t>
  </si>
  <si>
    <t xml:space="preserve">Millimetre LOS displacement; PS points</t>
  </si>
  <si>
    <t xml:space="preserve">Annual update; only the two latest releases stay online</t>
  </si>
  <si>
    <t xml:space="preserve">Copernicus free and open</t>
  </si>
  <si>
    <t xml:space="preserve">EGMS Explorer download</t>
  </si>
  <si>
    <t xml:space="preserve">egms.land.copernicus.eu</t>
  </si>
  <si>
    <t xml:space="preserve">Is a tailings dam crest moving, and is it accelerating?</t>
  </si>
  <si>
    <t xml:space="preserve">Exists explicitly for authorities monitoring dams and for mining subsidence. For Europe this removes the hardest processing layer entirely.</t>
  </si>
  <si>
    <t xml:space="preserve">RADD forest disturbance alerts</t>
  </si>
  <si>
    <t xml:space="preserve">Deforestation</t>
  </si>
  <si>
    <t xml:space="preserve">Wageningen University / GFW</t>
  </si>
  <si>
    <t xml:space="preserve">13 South American, 6 Central American, 25 African, 5 SE Asian, 1 Pacific country</t>
  </si>
  <si>
    <t xml:space="preserve">10 m, Sentinel-1 based</t>
  </si>
  <si>
    <t xml:space="preserve">Near-real-time</t>
  </si>
  <si>
    <t xml:space="preserve">CC BY 4.0</t>
  </si>
  <si>
    <t xml:space="preserve">GEE, GFW download</t>
  </si>
  <si>
    <t xml:space="preserve">gee-community-catalog.org/projects/radd/</t>
  </si>
  <si>
    <t xml:space="preserve">Has forest been cleared here since the last look?</t>
  </si>
  <si>
    <t xml:space="preserve">Cite Reiche et al. 2021, Environ. Res. Lett., doi:10.1088/1748-9326/abd0a8.</t>
  </si>
  <si>
    <t xml:space="preserve">DETER</t>
  </si>
  <si>
    <t xml:space="preserve">INPE</t>
  </si>
  <si>
    <t xml:space="preserve">Brazilian Amazon and Cerrado</t>
  </si>
  <si>
    <t xml:space="preserve">Polygon alerts</t>
  </si>
  <si>
    <t xml:space="preserve">Open</t>
  </si>
  <si>
    <t xml:space="preserve">TerraBrasilis API and download</t>
  </si>
  <si>
    <t xml:space="preserve">terrabrasilis.dpi.inpe.br</t>
  </si>
  <si>
    <t xml:space="preserve">Which clearings are new this fortnight?</t>
  </si>
  <si>
    <t xml:space="preserve">Designed for enforcement targeting; already used that way.</t>
  </si>
  <si>
    <t xml:space="preserve">PRODES</t>
  </si>
  <si>
    <t xml:space="preserve">Brazilian biomes</t>
  </si>
  <si>
    <t xml:space="preserve">Annual clear-cut polygons</t>
  </si>
  <si>
    <t xml:space="preserve">Annual</t>
  </si>
  <si>
    <t xml:space="preserve">What is the official annual clearing figure?</t>
  </si>
  <si>
    <t xml:space="preserve">The reference series; slower but authoritative.</t>
  </si>
  <si>
    <t xml:space="preserve">MapBiomas — mining module</t>
  </si>
  <si>
    <t xml:space="preserve">Land use</t>
  </si>
  <si>
    <t xml:space="preserve">MapBiomas</t>
  </si>
  <si>
    <t xml:space="preserve">Brazil</t>
  </si>
  <si>
    <t xml:space="preserve">30 m annual land cover, with garimpo/industrial split and substance attribution</t>
  </si>
  <si>
    <t xml:space="preserve">Annual, 1985–present</t>
  </si>
  <si>
    <t xml:space="preserve">CC BY-SA</t>
  </si>
  <si>
    <t xml:space="preserve">Download, GEE</t>
  </si>
  <si>
    <t xml:space="preserve">brasil.mapbiomas.org</t>
  </si>
  <si>
    <t xml:space="preserve">How much of the country is mined, by whom and since when?</t>
  </si>
  <si>
    <t xml:space="preserve">443,000 ha mined in 2022; 92% in the Amazon; 263,000 ha garimpo.</t>
  </si>
  <si>
    <t xml:space="preserve">ANM SIGMINE</t>
  </si>
  <si>
    <t xml:space="preserve">Mining cadastre</t>
  </si>
  <si>
    <t xml:space="preserve">ANM (Brazil)</t>
  </si>
  <si>
    <t xml:space="preserve">Polygons of every active and inactive mining process</t>
  </si>
  <si>
    <t xml:space="preserve">Open government data</t>
  </si>
  <si>
    <t xml:space="preserve">Bulk SHP/KML; ArcGIS REST</t>
  </si>
  <si>
    <t xml:space="preserve">dadosabertos.anm.gov.br/SIGMINE/PROCESSOS_MINERARIOS/</t>
  </si>
  <si>
    <t xml:space="preserve">Who is authorised to work exactly which polygon?</t>
  </si>
  <si>
    <t xml:space="preserve">The single most important non-imagery input. ArcGIS REST at geo.anm.gov.br.</t>
  </si>
  <si>
    <t xml:space="preserve">ANM Cadastro Mineiro</t>
  </si>
  <si>
    <t xml:space="preserve">Requests, titles, holders, regimes</t>
  </si>
  <si>
    <t xml:space="preserve">Daily micro-datasets</t>
  </si>
  <si>
    <t xml:space="preserve">dados.gov.br</t>
  </si>
  <si>
    <t xml:space="preserve">dados.gov.br/dados/conjuntos-dados/sistema-de-cadastro-mineiro</t>
  </si>
  <si>
    <t xml:space="preserve">What is the legal status of this title today?</t>
  </si>
  <si>
    <t xml:space="preserve">Status matters as much as geometry: a requerimento authorises nothing.</t>
  </si>
  <si>
    <t xml:space="preserve">ANM CFEM (arrecadação)</t>
  </si>
  <si>
    <t xml:space="preserve">Royalties</t>
  </si>
  <si>
    <t xml:space="preserve">Royalty payments by process and period</t>
  </si>
  <si>
    <t xml:space="preserve">Monthly</t>
  </si>
  <si>
    <t xml:space="preserve">dados.gov.br/dados/conjuntos-dados/sistema-arrecadacao</t>
  </si>
  <si>
    <t xml:space="preserve">What production has been declared, and what was paid on it?</t>
  </si>
  <si>
    <t xml:space="preserve">The declared-production proxy. TCU found R$16.4 bn uncollected over eight years.</t>
  </si>
  <si>
    <t xml:space="preserve">ANM SIGBM</t>
  </si>
  <si>
    <t xml:space="preserve">Tailings dams</t>
  </si>
  <si>
    <t xml:space="preserve">Dam characteristics, tailings type, emergency level</t>
  </si>
  <si>
    <t xml:space="preserve">Real-time</t>
  </si>
  <si>
    <t xml:space="preserve">Open government data; public viewer</t>
  </si>
  <si>
    <t xml:space="preserve">dados.gov.br; sigbm.anm.gov.br/Publico</t>
  </si>
  <si>
    <t xml:space="preserve">sigbm.anm.gov.br/Publico</t>
  </si>
  <si>
    <t xml:space="preserve">Which structures exist, and which are already in alert?</t>
  </si>
  <si>
    <t xml:space="preserve">917 dams registered Nov 2025; 470 under the PNSB; 93 in alert or emergency.</t>
  </si>
  <si>
    <t xml:space="preserve">ANM TAH</t>
  </si>
  <si>
    <t xml:space="preserve">Fiscal</t>
  </si>
  <si>
    <t xml:space="preserve">Annual per-hectare fee by process, year, holder, area</t>
  </si>
  <si>
    <t xml:space="preserve">dados.gov.br/dados/conjuntos-dados/taxa-anual-por-hectare-tah</t>
  </si>
  <si>
    <t xml:space="preserve">Is the holder paying to hold the area at all?</t>
  </si>
  <si>
    <t xml:space="preserve">Non-payment is a cheap early signal of a dormant or abandoned title.</t>
  </si>
  <si>
    <t xml:space="preserve">Anuário Mineral Brasileiro</t>
  </si>
  <si>
    <t xml:space="preserve">Production</t>
  </si>
  <si>
    <t xml:space="preserve">Production and destination — sales, transfers, consumption</t>
  </si>
  <si>
    <t xml:space="preserve">Annual, from 2010</t>
  </si>
  <si>
    <t xml:space="preserve">dados.gov.br/dados/conjuntos-dados/anuario-mineral-brasileiro-amb</t>
  </si>
  <si>
    <t xml:space="preserve">What did this operation say it produced last year?</t>
  </si>
  <si>
    <t xml:space="preserve">Cross-check against CFEM and against the company's own annual report.</t>
  </si>
  <si>
    <t xml:space="preserve">EU high-value datasets</t>
  </si>
  <si>
    <t xml:space="preserve">Cadastre and environment</t>
  </si>
  <si>
    <t xml:space="preserve">EU member states</t>
  </si>
  <si>
    <t xml:space="preserve">EU</t>
  </si>
  <si>
    <t xml:space="preserve">INSPIRE themes plus environmental priority data; scales to 1:5000</t>
  </si>
  <si>
    <t xml:space="preserve">As published; current plus historical versions required</t>
  </si>
  <si>
    <t xml:space="preserve">CC BY 4.0 or less restrictive (mandatory)</t>
  </si>
  <si>
    <t xml:space="preserve">API and bulk download (mandatory)</t>
  </si>
  <si>
    <t xml:space="preserve">eur-lex.europa.eu/eli/reg_impl/2023/138/oj/eng</t>
  </si>
  <si>
    <t xml:space="preserve">Where are the licences, protected areas and environmental records in this member state?</t>
  </si>
  <si>
    <t xml:space="preserve">Implementing Reg. (EU) 2023/138. The EU has already legislated the supply side of this architecture. Compliance was due mid-2024.</t>
  </si>
  <si>
    <t xml:space="preserve">EITI country reports</t>
  </si>
  <si>
    <t xml:space="preserve">Payments and ownership</t>
  </si>
  <si>
    <t xml:space="preserve">EITI + implementing countries</t>
  </si>
  <si>
    <t xml:space="preserve">~50 countries</t>
  </si>
  <si>
    <t xml:space="preserve">Payments, beneficial ownership, contracts</t>
  </si>
  <si>
    <t xml:space="preserve">Annual; systematic disclosure encouraged</t>
  </si>
  <si>
    <t xml:space="preserve">Open (EITI open data policy)</t>
  </si>
  <si>
    <t xml:space="preserve">Download, country portals</t>
  </si>
  <si>
    <t xml:space="preserve">eiti.org</t>
  </si>
  <si>
    <t xml:space="preserve">Who owns this and what did they pay?</t>
  </si>
  <si>
    <t xml:space="preserve">2023 Standard strengthened beneficial-ownership and contract transparency.</t>
  </si>
  <si>
    <t xml:space="preserve">EU Accounting Directive Ch. 10</t>
  </si>
  <si>
    <t xml:space="preserve">Payments</t>
  </si>
  <si>
    <t xml:space="preserve">EU-listed extractive companies</t>
  </si>
  <si>
    <t xml:space="preserve">Payments to governments by project</t>
  </si>
  <si>
    <t xml:space="preserve">Public filing</t>
  </si>
  <si>
    <t xml:space="preserve">Company reports, national registers</t>
  </si>
  <si>
    <t xml:space="preserve">—</t>
  </si>
  <si>
    <t xml:space="preserve">Does what they told shareholders match what they told the tax authority?</t>
  </si>
  <si>
    <t xml:space="preserve">Cross-filing divergence needs no remote sensing and is often the strongest signal.</t>
  </si>
  <si>
    <t xml:space="preserve">ESTMA reports</t>
  </si>
  <si>
    <t xml:space="preserve">Canadian-listed extractive companies</t>
  </si>
  <si>
    <t xml:space="preserve">Payments to governments</t>
  </si>
  <si>
    <t xml:space="preserve">Natural Resources Canada</t>
  </si>
  <si>
    <t xml:space="preserve">natural-resources.canada.ca</t>
  </si>
  <si>
    <t xml:space="preserve">Same question, different regime.</t>
  </si>
  <si>
    <t xml:space="preserve">Useful where a Canadian-listed parent operates elsewhere.</t>
  </si>
  <si>
    <t xml:space="preserve">Global-scale mining polygons v2</t>
  </si>
  <si>
    <t xml:space="preserve">Reference</t>
  </si>
  <si>
    <t xml:space="preserve">Maus et al. / IIASA-WU</t>
  </si>
  <si>
    <t xml:space="preserve">145 countries</t>
  </si>
  <si>
    <t xml:space="preserve">44,929 polygons; 101,583 km²; from 2019 Sentinel-2 cloudless mosaic</t>
  </si>
  <si>
    <t xml:space="preserve">Static (2019)</t>
  </si>
  <si>
    <t xml:space="preserve">CC BY-SA 4.0</t>
  </si>
  <si>
    <t xml:space="preserve">PANGAEA download</t>
  </si>
  <si>
    <t xml:space="preserve">doi.org/10.1594/PANGAEA.942325</t>
  </si>
  <si>
    <t xml:space="preserve">Where are the world's mines, roughly?</t>
  </si>
  <si>
    <t xml:space="preserve">Accuracy 88.3%; user's 97.2%; producer's 78.9%; F1 0.87. A starting gazetteer, not a cadastre.</t>
  </si>
  <si>
    <t xml:space="preserve">Open database of mine production</t>
  </si>
  <si>
    <t xml:space="preserve">Jasansky et al.</t>
  </si>
  <si>
    <t xml:space="preserve">80 countries</t>
  </si>
  <si>
    <t xml:space="preserve">1,171 mines; 80 materials; 2000–2021; Brazil 89 facilities</t>
  </si>
  <si>
    <t xml:space="preserve">Static</t>
  </si>
  <si>
    <t xml:space="preserve">CC BY 4.0 (data); GPL-3 (code)</t>
  </si>
  <si>
    <t xml:space="preserve">Zenodo</t>
  </si>
  <si>
    <t xml:space="preserve">doi.org/10.5281/zenodo.7369478</t>
  </si>
  <si>
    <t xml:space="preserve">What has this mine historically produced?</t>
  </si>
  <si>
    <t xml:space="preserve">Hand-built from &gt;1,900 company reports; every datum linked to its source. China under-covered; excludes artisanal mining.</t>
  </si>
  <si>
    <t xml:space="preserve">Global Tailings Portal</t>
  </si>
  <si>
    <t xml:space="preserve">Tailings</t>
  </si>
  <si>
    <t xml:space="preserve">GRID-Arendal + Investor Mining and Tailings Safety Initiative</t>
  </si>
  <si>
    <t xml:space="preserve">~1,800 facilities; ~100 companies; 20 field categories</t>
  </si>
  <si>
    <t xml:space="preserve">Irregular</t>
  </si>
  <si>
    <t xml:space="preserve">Searchable; bulk on request</t>
  </si>
  <si>
    <t xml:space="preserve">Web portal</t>
  </si>
  <si>
    <t xml:space="preserve">tailing.grida.no</t>
  </si>
  <si>
    <t xml:space="preserve">What kind of structure is this, and how was it raised?</t>
  </si>
  <si>
    <t xml:space="preserve">Only 332 of 727 surveyed listed companies responded — itself a finding about the disclosure regime.</t>
  </si>
  <si>
    <t xml:space="preserve">Global Coal Mine Tracker</t>
  </si>
  <si>
    <t xml:space="preserve">Global Energy Monitor</t>
  </si>
  <si>
    <t xml:space="preserve">Operator, ownership, status, coal type, workforce, location</t>
  </si>
  <si>
    <t xml:space="preserve">Annual since 2023</t>
  </si>
  <si>
    <t xml:space="preserve">Download</t>
  </si>
  <si>
    <t xml:space="preserve">globalenergymonitor.org</t>
  </si>
  <si>
    <t xml:space="preserve">Who operates this coal mine and what is its status?</t>
  </si>
  <si>
    <t xml:space="preserve">Validated against government sources, company reports, media and field contacts.</t>
  </si>
  <si>
    <t xml:space="preserve">JRC Global Surface Water</t>
  </si>
  <si>
    <t xml:space="preserve">Water</t>
  </si>
  <si>
    <t xml:space="preserve">EC Joint Research Centre</t>
  </si>
  <si>
    <t xml:space="preserve">30 m; occurrence, change, seasonality, 1984–present</t>
  </si>
  <si>
    <t xml:space="preserve">GEE, download</t>
  </si>
  <si>
    <t xml:space="preserve">global-surface-water.appspot.com</t>
  </si>
  <si>
    <t xml:space="preserve">Was there water here before the impoundment was built?</t>
  </si>
  <si>
    <t xml:space="preserve">The baseline against which a new pond is 'new'.</t>
  </si>
  <si>
    <t xml:space="preserve">WDPA / CNUC / FUNAI</t>
  </si>
  <si>
    <t xml:space="preserve">Protected areas</t>
  </si>
  <si>
    <t xml:space="preserve">UNEP-WCMC; MMA; FUNAI</t>
  </si>
  <si>
    <t xml:space="preserve">Global / Brazil</t>
  </si>
  <si>
    <t xml:space="preserve">Protected-area and Indigenous-land boundaries</t>
  </si>
  <si>
    <t xml:space="preserve">Monthly to irregular</t>
  </si>
  <si>
    <t xml:space="preserve">Varies — check per layer</t>
  </si>
  <si>
    <t xml:space="preserve">Download, WFS</t>
  </si>
  <si>
    <t xml:space="preserve">protectedplanet.net</t>
  </si>
  <si>
    <t xml:space="preserve">Is this area one where extraction is categorically prohibited?</t>
  </si>
  <si>
    <t xml:space="preserve">Boundary provenance matters: use the national register of record, not a global aggregate, for anything that will be acted on.</t>
  </si>
  <si>
    <t xml:space="preserve">OpenCorporates</t>
  </si>
  <si>
    <t xml:space="preserve">Corporate</t>
  </si>
  <si>
    <t xml:space="preserve">Company registrations and officers</t>
  </si>
  <si>
    <t xml:space="preserve">Continuous</t>
  </si>
  <si>
    <t xml:space="preserve">Mixed — check terms</t>
  </si>
  <si>
    <t xml:space="preserve">API</t>
  </si>
  <si>
    <t xml:space="preserve">opencorporates.com</t>
  </si>
  <si>
    <t xml:space="preserve">Who is behind the holder of record?</t>
  </si>
  <si>
    <t xml:space="preserve">Combine with EITI beneficial-ownership disclosures.</t>
  </si>
  <si>
    <t xml:space="preserve">Open Ownership Register</t>
  </si>
  <si>
    <t xml:space="preserve">Open Ownership</t>
  </si>
  <si>
    <t xml:space="preserve">~30 jurisdictions</t>
  </si>
  <si>
    <t xml:space="preserve">Beneficial-ownership declarations in a common data standard</t>
  </si>
  <si>
    <t xml:space="preserve">Open (Beneficial Ownership Data Standard)</t>
  </si>
  <si>
    <t xml:space="preserve">Bulk download, API</t>
  </si>
  <si>
    <t xml:space="preserve">register.openownership.org</t>
  </si>
  <si>
    <t xml:space="preserve">Who ultimately benefits from the holder of record?</t>
  </si>
  <si>
    <t xml:space="preserve">Ingests country beneficial-ownership registers (including EITI-mandated ones) into one schema. The natural companion to the CFEM/EITI/Ch.10 cross-filing check.</t>
  </si>
  <si>
    <t xml:space="preserve">Resource Contracts Portal</t>
  </si>
  <si>
    <t xml:space="preserve">Contracts</t>
  </si>
  <si>
    <t xml:space="preserve">NRGI / World Bank / Columbia CCSI</t>
  </si>
  <si>
    <t xml:space="preserve">~100 countries</t>
  </si>
  <si>
    <t xml:space="preserve">Full text of mining and oil contracts, annotated</t>
  </si>
  <si>
    <t xml:space="preserve">As published/submitted</t>
  </si>
  <si>
    <t xml:space="preserve">Web portal, bulk download</t>
  </si>
  <si>
    <t xml:space="preserve">resourcecontracts.org</t>
  </si>
  <si>
    <t xml:space="preserve">What did the state actually agree to on this title?</t>
  </si>
  <si>
    <t xml:space="preserve">The contract itself, not just the registry entry — useful where the cadastre records status but not terms.</t>
  </si>
  <si>
    <t xml:space="preserve">Global Forest Watch platform</t>
  </si>
  <si>
    <t xml:space="preserve">Deforestation — access layer</t>
  </si>
  <si>
    <t xml:space="preserve">World Resources Institute</t>
  </si>
  <si>
    <t xml:space="preserve">Unified access to RADD, GLAD-L, GLAD-S2 and Hansen annual loss over one map/API</t>
  </si>
  <si>
    <t xml:space="preserve">Near-real-time to annual, depending on the layer</t>
  </si>
  <si>
    <t xml:space="preserve">Web map, API, bulk download</t>
  </si>
  <si>
    <t xml:space="preserve">globalforestwatch.org</t>
  </si>
  <si>
    <t xml:space="preserve">Which alert product is the right one for this region and this question?</t>
  </si>
  <si>
    <t xml:space="preserve">Useful as the ingestion point rather than wiring each underlying product separately; GLAD-L/S2 extend near-real-time coverage outside RADD's footprint.</t>
  </si>
  <si>
    <t xml:space="preserve">ESA WorldCover</t>
  </si>
  <si>
    <t xml:space="preserve">Land cover baseline</t>
  </si>
  <si>
    <t xml:space="preserve">ESA / VITO</t>
  </si>
  <si>
    <t xml:space="preserve">10 m, 11 land-cover classes, two epochs (2020, 2021)</t>
  </si>
  <si>
    <t xml:space="preserve">Static per epoch</t>
  </si>
  <si>
    <t xml:space="preserve">STAC, download</t>
  </si>
  <si>
    <t xml:space="preserve">esa-worldcover.org</t>
  </si>
  <si>
    <t xml:space="preserve">What was here before it became a mine — cropland, forest, already-bare ground?</t>
  </si>
  <si>
    <t xml:space="preserve">The independent baseline that keeps the footprint detector honest about what counts as 'disturbed' in a given landscape.</t>
  </si>
  <si>
    <t xml:space="preserve">OpenStreetMap</t>
  </si>
  <si>
    <t xml:space="preserve">Infrastructure baseline</t>
  </si>
  <si>
    <t xml:space="preserve">OSM Foundation / contributors</t>
  </si>
  <si>
    <t xml:space="preserve">Roads, haul-road candidates, settlements, watercourses</t>
  </si>
  <si>
    <t xml:space="preserve">Continuous, crowd-sourced</t>
  </si>
  <si>
    <t xml:space="preserve">ODbL 1.0</t>
  </si>
  <si>
    <t xml:space="preserve">API (Overpass), bulk extracts</t>
  </si>
  <si>
    <t xml:space="preserve">openstreetmap.org</t>
  </si>
  <si>
    <t xml:space="preserve">Is this a new haul road, and does it reach a settlement or a river?</t>
  </si>
  <si>
    <t xml:space="preserve">Coverage quality varies strongly by region; verify against imagery before relying on it evidentially.</t>
  </si>
  <si>
    <t xml:space="preserve">USGS Mineral Resources Data System (MRDS)</t>
  </si>
  <si>
    <t xml:space="preserve">USGS</t>
  </si>
  <si>
    <t xml:space="preserve">USA + global sites</t>
  </si>
  <si>
    <t xml:space="preserve">~330,000 historical mineral occurrences, deposits and prospects</t>
  </si>
  <si>
    <t xml:space="preserve">Static, periodically revised</t>
  </si>
  <si>
    <t xml:space="preserve">Download, ArcGIS REST</t>
  </si>
  <si>
    <t xml:space="preserve">mrdata.usgs.gov/mrds/</t>
  </si>
  <si>
    <t xml:space="preserve">Has this location been mined or prospected before?</t>
  </si>
  <si>
    <t xml:space="preserve">The deepest historical baseline available for the pre-satellite era.</t>
  </si>
  <si>
    <t xml:space="preserve">INGEMMET GEOCATMIN</t>
  </si>
  <si>
    <t xml:space="preserve">INGEMMET (Peru)</t>
  </si>
  <si>
    <t xml:space="preserve">Peru</t>
  </si>
  <si>
    <t xml:space="preserve">Mining concession polygons, status, geological and energy layers</t>
  </si>
  <si>
    <t xml:space="preserve">Regularly updated</t>
  </si>
  <si>
    <t xml:space="preserve">Web map, WMS, e-Catastro download</t>
  </si>
  <si>
    <t xml:space="preserve">geocatmin.ingemmet.gob.pe</t>
  </si>
  <si>
    <t xml:space="preserve">Who holds the concession over this Peruvian site, and what is its status?</t>
  </si>
  <si>
    <t xml:space="preserve">Peru's equivalent of SIGMINE; combine with MINEM production and formalisation (REINFO) registers for the declaration cross-check.</t>
  </si>
  <si>
    <t xml:space="preserve">SERNAGEOMIN Catastro Minero Online</t>
  </si>
  <si>
    <t xml:space="preserve">SERNAGEOMIN (Chile)</t>
  </si>
  <si>
    <t xml:space="preserve">Chile</t>
  </si>
  <si>
    <t xml:space="preserve">Mining concession (pertenencia) polygons and status</t>
  </si>
  <si>
    <t xml:space="preserve">Web viewer, download</t>
  </si>
  <si>
    <t xml:space="preserve">catastro.sernageomin.cl</t>
  </si>
  <si>
    <t xml:space="preserve">Who holds the concession over this Chilean site, and what is its status?</t>
  </si>
  <si>
    <t xml:space="preserve">Chile's national mining cadastre; pair with SERNAGEOMIN's tailings (relaves) registry for the dam-safety layer.</t>
  </si>
  <si>
    <t xml:space="preserve">CAMI — Cadastre Minier (DRC)</t>
  </si>
  <si>
    <t xml:space="preserve">Cadastre Minier, Ministry of Mines (DRC)</t>
  </si>
  <si>
    <t xml:space="preserve">Democratic Republic of Congo</t>
  </si>
  <si>
    <t xml:space="preserve">Mining and quarry title polygons, holder and status</t>
  </si>
  <si>
    <t xml:space="preserve">Government portal — confirm re-use terms before bulk use</t>
  </si>
  <si>
    <t xml:space="preserve">Web map portal</t>
  </si>
  <si>
    <t xml:space="preserve">drclicences.cami.cd</t>
  </si>
  <si>
    <t xml:space="preserve">Who is authorised to work this site in the DRC, and under what kind of title?</t>
  </si>
  <si>
    <t xml:space="preserve">One of the oldest web-based mining cadastres in Africa (running since the 2010s); verify current polygon vintage before relying on it for boundary work.</t>
  </si>
  <si>
    <t xml:space="preserve">Ghana Minerals Commission — Mining Cadastre (MCAS)</t>
  </si>
  <si>
    <t xml:space="preserve">Minerals Commission (Ghana)</t>
  </si>
  <si>
    <t xml:space="preserve">Ghana</t>
  </si>
  <si>
    <t xml:space="preserve">Mineral rights applications, licences and their spatial extent</t>
  </si>
  <si>
    <t xml:space="preserve">Government portal</t>
  </si>
  <si>
    <t xml:space="preserve">Web portal (Mining Cadastre Administration System)</t>
  </si>
  <si>
    <t xml:space="preserve">mincom.gov.gh/mining-cadestre/</t>
  </si>
  <si>
    <t xml:space="preserve">Who holds the licence over this Ghanaian site, and is it in good standing?</t>
  </si>
  <si>
    <t xml:space="preserve">A companion Ghana Mining Repository (revenuedev.org) publishes licence and payment data in a more analysis-ready form.</t>
  </si>
  <si>
    <t xml:space="preserve">SAMRAD (South Africa)</t>
  </si>
  <si>
    <t xml:space="preserve">Dept. of Mineral &amp; Petroleum Resources</t>
  </si>
  <si>
    <t xml:space="preserve">South Africa</t>
  </si>
  <si>
    <t xml:space="preserve">Prospecting and mining right applications and status</t>
  </si>
  <si>
    <t xml:space="preserve">Nominally continuous</t>
  </si>
  <si>
    <t xml:space="preserve">Web portal (portal.samradonline.co.za)</t>
  </si>
  <si>
    <t xml:space="preserve">samradonline.co.za</t>
  </si>
  <si>
    <t xml:space="preserve">Who holds the right over this South African site?</t>
  </si>
  <si>
    <t xml:space="preserve">CAUTION: independent reporting through 2026 describes SAMRAD's records as unreliable and a cadastral-system replacement as delayed and repeatedly deferred. Treat title status from this source as a lead to confirm, not a fact to act on.</t>
  </si>
  <si>
    <t xml:space="preserve">MinerbaOne (Indonesia)</t>
  </si>
  <si>
    <t xml:space="preserve">Mining cadastre / production reporting</t>
  </si>
  <si>
    <t xml:space="preserve">Kementerian ESDM (Indonesia)</t>
  </si>
  <si>
    <t xml:space="preserve">Indonesia</t>
  </si>
  <si>
    <t xml:space="preserve">Licence status, production and work-plan (RKAB) filings</t>
  </si>
  <si>
    <t xml:space="preserve">modi.esdm.go.id</t>
  </si>
  <si>
    <t xml:space="preserve">What has this Indonesian operation reported producing, and is its licence current?</t>
  </si>
  <si>
    <t xml:space="preserve">Formerly 'MODI' (Minerba One Data Indonesia); the ministry has been migrating filings to a successor system named MinerbaOne — confirm which endpoint is live before integrating.</t>
  </si>
  <si>
    <t xml:space="preserve">Open-source components</t>
  </si>
  <si>
    <t xml:space="preserve">Licences verified 19 Aug 2026. Pin to OSI-approved licences and keep a documented exit path for every dependency.</t>
  </si>
  <si>
    <t xml:space="preserve">Component</t>
  </si>
  <si>
    <t xml:space="preserve">Layer</t>
  </si>
  <si>
    <t xml:space="preserve">Function</t>
  </si>
  <si>
    <t xml:space="preserve">Governance</t>
  </si>
  <si>
    <t xml:space="preserve">Maturity</t>
  </si>
  <si>
    <t xml:space="preserve">Risk note</t>
  </si>
  <si>
    <t xml:space="preserve">QGIS</t>
  </si>
  <si>
    <t xml:space="preserve">Desktop</t>
  </si>
  <si>
    <t xml:space="preserve">GIS, visualisation, manual verification</t>
  </si>
  <si>
    <t xml:space="preserve">GPL-2.0-or-later</t>
  </si>
  <si>
    <t xml:space="preserve">QGIS.org / OSGeo</t>
  </si>
  <si>
    <t xml:space="preserve">Recognised as a Digital Public Good by the DPG Alliance, Feb 2025 — a useful precedent for classifying this platform.</t>
  </si>
  <si>
    <t xml:space="preserve">GDAL / OGR</t>
  </si>
  <si>
    <t xml:space="preserve">I/O</t>
  </si>
  <si>
    <t xml:space="preserve">Raster and vector formats, reprojection, warping</t>
  </si>
  <si>
    <t xml:space="preserve">MIT/X-style</t>
  </si>
  <si>
    <t xml:space="preserve">OSGeo</t>
  </si>
  <si>
    <t xml:space="preserve">The load-bearing dependency of the entire geospatial world. Safe.</t>
  </si>
  <si>
    <t xml:space="preserve">PostgreSQL</t>
  </si>
  <si>
    <t xml:space="preserve">Store</t>
  </si>
  <si>
    <t xml:space="preserve">Relational database</t>
  </si>
  <si>
    <t xml:space="preserve">PostgreSQL Licence</t>
  </si>
  <si>
    <t xml:space="preserve">PostgreSQL Global Development Group</t>
  </si>
  <si>
    <t xml:space="preserve">Safe.</t>
  </si>
  <si>
    <t xml:space="preserve">PostGIS</t>
  </si>
  <si>
    <t xml:space="preserve">Spatial types, indexes and operations</t>
  </si>
  <si>
    <t xml:space="preserve">stac-fastapi + pgstac</t>
  </si>
  <si>
    <t xml:space="preserve">STAC API over PostgreSQL</t>
  </si>
  <si>
    <t xml:space="preserve">MIT</t>
  </si>
  <si>
    <t xml:space="preserve">Radiant Earth / community</t>
  </si>
  <si>
    <t xml:space="preserve">Same standard the upstream archives use.</t>
  </si>
  <si>
    <t xml:space="preserve">pystac / pystac-client</t>
  </si>
  <si>
    <t xml:space="preserve">Acquisition</t>
  </si>
  <si>
    <t xml:space="preserve">STAC catalogue client</t>
  </si>
  <si>
    <t xml:space="preserve">Apache-2.0</t>
  </si>
  <si>
    <t xml:space="preserve">Radiant Earth</t>
  </si>
  <si>
    <t xml:space="preserve">Open Data Cube</t>
  </si>
  <si>
    <t xml:space="preserve">Indexed EO data cube</t>
  </si>
  <si>
    <t xml:space="preserve">ODC / CEOS</t>
  </si>
  <si>
    <t xml:space="preserve">Several national deployments (Digital Earth Australia, Africa).</t>
  </si>
  <si>
    <t xml:space="preserve">openEO</t>
  </si>
  <si>
    <t xml:space="preserve">Processing</t>
  </si>
  <si>
    <t xml:space="preserve">Federated EO processing API</t>
  </si>
  <si>
    <t xml:space="preserve">openEO / ESA</t>
  </si>
  <si>
    <t xml:space="preserve">Available on CDSE within the free-tier credit allocation.</t>
  </si>
  <si>
    <t xml:space="preserve">eodag</t>
  </si>
  <si>
    <t xml:space="preserve">Multi-provider archive access</t>
  </si>
  <si>
    <t xml:space="preserve">CS Group</t>
  </si>
  <si>
    <t xml:space="preserve">Useful when a deployment must span several archives.</t>
  </si>
  <si>
    <t xml:space="preserve">rasterio / rioxarray</t>
  </si>
  <si>
    <t xml:space="preserve">Raster read/write, warping, xarray bridge</t>
  </si>
  <si>
    <t xml:space="preserve">BSD-3 / Apache-2.0</t>
  </si>
  <si>
    <t xml:space="preserve">Mapbox → community</t>
  </si>
  <si>
    <t xml:space="preserve">xarray / dask</t>
  </si>
  <si>
    <t xml:space="preserve">Labelled arrays; out-of-core parallelism</t>
  </si>
  <si>
    <t xml:space="preserve">Apache-2.0 / BSD-3</t>
  </si>
  <si>
    <t xml:space="preserve">NumFOCUS</t>
  </si>
  <si>
    <t xml:space="preserve">numpy / scipy</t>
  </si>
  <si>
    <t xml:space="preserve">Numerics, morphology, statistics</t>
  </si>
  <si>
    <t xml:space="preserve">BSD-3</t>
  </si>
  <si>
    <t xml:space="preserve">numpy is the only mandatory dependency of the core.</t>
  </si>
  <si>
    <t xml:space="preserve">scikit-image</t>
  </si>
  <si>
    <t xml:space="preserve">Segmentation, morphology, measurement</t>
  </si>
  <si>
    <t xml:space="preserve">scikit-learn</t>
  </si>
  <si>
    <t xml:space="preserve">Analysis</t>
  </si>
  <si>
    <t xml:space="preserve">Classical ML for classification and clustering</t>
  </si>
  <si>
    <t xml:space="preserve">TorchGeo</t>
  </si>
  <si>
    <t xml:space="preserve">Geospatial deep learning datasets and models</t>
  </si>
  <si>
    <t xml:space="preserve">Microsoft</t>
  </si>
  <si>
    <t xml:space="preserve">The path for a learned second-opinion detector.</t>
  </si>
  <si>
    <t xml:space="preserve">segment-geospatial / leafmap</t>
  </si>
  <si>
    <t xml:space="preserve">SAM-based segmentation; notebooks</t>
  </si>
  <si>
    <t xml:space="preserve">Open Geospatial Solutions</t>
  </si>
  <si>
    <t xml:space="preserve">Used by Amazon Mining Watch for scar masks.</t>
  </si>
  <si>
    <t xml:space="preserve">ESA SNAP</t>
  </si>
  <si>
    <t xml:space="preserve">SAR</t>
  </si>
  <si>
    <t xml:space="preserve">Sentinel-1 preprocessing, interferometry</t>
  </si>
  <si>
    <t xml:space="preserve">GPL-3.0</t>
  </si>
  <si>
    <t xml:space="preserve">ESA</t>
  </si>
  <si>
    <t xml:space="preserve">Heavy. Java. Works.</t>
  </si>
  <si>
    <t xml:space="preserve">ISCE2</t>
  </si>
  <si>
    <t xml:space="preserve">Interferogram generation</t>
  </si>
  <si>
    <t xml:space="preserve">NASA JPL</t>
  </si>
  <si>
    <t xml:space="preserve">The other half of the non-European InSAR path.</t>
  </si>
  <si>
    <t xml:space="preserve">MintPy</t>
  </si>
  <si>
    <t xml:space="preserve">InSAR time-series inversion (SBAS)</t>
  </si>
  <si>
    <t xml:space="preserve">Academic community</t>
  </si>
  <si>
    <t xml:space="preserve">Pairs with ISCE2 or SNAP.</t>
  </si>
  <si>
    <t xml:space="preserve">LiCSBAS</t>
  </si>
  <si>
    <t xml:space="preserve">InSAR time series over LiCSAR products</t>
  </si>
  <si>
    <t xml:space="preserve">COMET</t>
  </si>
  <si>
    <t xml:space="preserve">Lower barrier to entry than MintPy where LiCSAR covers the area.</t>
  </si>
  <si>
    <t xml:space="preserve">Orfeo ToolBox</t>
  </si>
  <si>
    <t xml:space="preserve">Remote-sensing image processing</t>
  </si>
  <si>
    <t xml:space="preserve">CNES</t>
  </si>
  <si>
    <t xml:space="preserve">TiTiler</t>
  </si>
  <si>
    <t xml:space="preserve">Services</t>
  </si>
  <si>
    <t xml:space="preserve">Dynamic tiling from COGs</t>
  </si>
  <si>
    <t xml:space="preserve">Development Seed</t>
  </si>
  <si>
    <t xml:space="preserve">GeoServer</t>
  </si>
  <si>
    <t xml:space="preserve">OGC WMS/WFS/WCS</t>
  </si>
  <si>
    <t xml:space="preserve">GPL-2.0</t>
  </si>
  <si>
    <t xml:space="preserve">pygeoapi</t>
  </si>
  <si>
    <t xml:space="preserve">OGC API Features / Records / Processes</t>
  </si>
  <si>
    <t xml:space="preserve">Lighter and more modern than GeoServer for API-only needs.</t>
  </si>
  <si>
    <t xml:space="preserve">GeoNode</t>
  </si>
  <si>
    <t xml:space="preserve">Portal</t>
  </si>
  <si>
    <t xml:space="preserve">Geospatial catalogue and portal</t>
  </si>
  <si>
    <t xml:space="preserve">Fastest route to a public portal.</t>
  </si>
  <si>
    <t xml:space="preserve">CKAN</t>
  </si>
  <si>
    <t xml:space="preserve">Open-data catalogue</t>
  </si>
  <si>
    <t xml:space="preserve">AGPL-3.0</t>
  </si>
  <si>
    <t xml:space="preserve">OKFN</t>
  </si>
  <si>
    <t xml:space="preserve">AGPL: procurement implications if modified and exposed as a service.</t>
  </si>
  <si>
    <t xml:space="preserve">MapLibre GL JS</t>
  </si>
  <si>
    <t xml:space="preserve">Frontend</t>
  </si>
  <si>
    <t xml:space="preserve">Vector web maps</t>
  </si>
  <si>
    <t xml:space="preserve">MapLibre / Linux Foundation</t>
  </si>
  <si>
    <t xml:space="preserve">The post-Mapbox fork; safe.</t>
  </si>
  <si>
    <t xml:space="preserve">deck.gl</t>
  </si>
  <si>
    <t xml:space="preserve">Large-scale WebGL data overlays</t>
  </si>
  <si>
    <t xml:space="preserve">OpenJS Foundation</t>
  </si>
  <si>
    <t xml:space="preserve">Apache Airflow</t>
  </si>
  <si>
    <t xml:space="preserve">Orchestration</t>
  </si>
  <si>
    <t xml:space="preserve">Scheduled pipeline execution</t>
  </si>
  <si>
    <t xml:space="preserve">ASF</t>
  </si>
  <si>
    <t xml:space="preserve">One DAG per site per cadence.</t>
  </si>
  <si>
    <t xml:space="preserve">Prefect</t>
  </si>
  <si>
    <t xml:space="preserve">Alternative orchestrator</t>
  </si>
  <si>
    <t xml:space="preserve">Prefect Technologies</t>
  </si>
  <si>
    <t xml:space="preserve">Lighter for small deployments.</t>
  </si>
  <si>
    <t xml:space="preserve">DuckDB</t>
  </si>
  <si>
    <t xml:space="preserve">Analytics</t>
  </si>
  <si>
    <t xml:space="preserve">In-process analytical SQL, GeoParquet reads</t>
  </si>
  <si>
    <t xml:space="preserve">DuckDB Foundation</t>
  </si>
  <si>
    <t xml:space="preserve">Findings tables are small; no cluster needed.</t>
  </si>
  <si>
    <t xml:space="preserve">GeoParquet</t>
  </si>
  <si>
    <t xml:space="preserve">Format</t>
  </si>
  <si>
    <t xml:space="preserve">Columnar geospatial storage</t>
  </si>
  <si>
    <t xml:space="preserve">OGC</t>
  </si>
  <si>
    <t xml:space="preserve">Cloud-Optimised GeoTIFF</t>
  </si>
  <si>
    <t xml:space="preserve">Range-request raster storage</t>
  </si>
  <si>
    <t xml:space="preserve">Open spec</t>
  </si>
  <si>
    <t xml:space="preserve">What the upstream archives already serve.</t>
  </si>
  <si>
    <t xml:space="preserve">Apache Superset</t>
  </si>
  <si>
    <t xml:space="preserve">BI dashboards</t>
  </si>
  <si>
    <t xml:space="preserve">Keycloak</t>
  </si>
  <si>
    <t xml:space="preserve">Identity</t>
  </si>
  <si>
    <t xml:space="preserve">Authentication, roles, audit</t>
  </si>
  <si>
    <t xml:space="preserve">CNCF / Red Hat</t>
  </si>
  <si>
    <t xml:space="preserve">Carries the role model the case state machine checks.</t>
  </si>
  <si>
    <t xml:space="preserve">SeaweedFS</t>
  </si>
  <si>
    <t xml:space="preserve">S3-compatible object storage</t>
  </si>
  <si>
    <t xml:space="preserve">Community</t>
  </si>
  <si>
    <t xml:space="preserve">RECOMMENDED replacement for MinIO.</t>
  </si>
  <si>
    <t xml:space="preserve">Garage</t>
  </si>
  <si>
    <t xml:space="preserve">Deuxfleurs</t>
  </si>
  <si>
    <t xml:space="preserve">Lightweight; AGPL implications if modified and exposed.</t>
  </si>
  <si>
    <t xml:space="preserve">Ceph RGW</t>
  </si>
  <si>
    <t xml:space="preserve">S3-compatible object storage at scale</t>
  </si>
  <si>
    <t xml:space="preserve">LGPL-2.1/3.0</t>
  </si>
  <si>
    <t xml:space="preserve">Ceph Foundation</t>
  </si>
  <si>
    <t xml:space="preserve">For Tier-3 scale.</t>
  </si>
  <si>
    <t xml:space="preserve">MinIO</t>
  </si>
  <si>
    <t xml:space="preserve">AGPL-3.0 (community edition archived)</t>
  </si>
  <si>
    <t xml:space="preserve">MinIO Inc.</t>
  </si>
  <si>
    <t xml:space="preserve">DO NOT ADOPT</t>
  </si>
  <si>
    <t xml:space="preserve">Community edition entered maintenance mode and was archived over 2025-26 after features were stripped from the AGPL build. Any architecture that assumed MinIO now has a problem.</t>
  </si>
  <si>
    <t xml:space="preserve">Grafana</t>
  </si>
  <si>
    <t xml:space="preserve">Monitoring</t>
  </si>
  <si>
    <t xml:space="preserve">Operational dashboards</t>
  </si>
  <si>
    <t xml:space="preserve">Grafana Labs</t>
  </si>
  <si>
    <t xml:space="preserve">Fine to run; AGPL implications if modified and exposed as a service.</t>
  </si>
  <si>
    <t xml:space="preserve">Sen2Cor</t>
  </si>
  <si>
    <t xml:space="preserve">Sentinel-2 L1C→L2A atmospheric correction</t>
  </si>
  <si>
    <t xml:space="preserve">ESA free-to-use, NOT OSI-approved</t>
  </si>
  <si>
    <t xml:space="preserve">Prefer consuming L2A products directly rather than depending on local Sen2Cor.</t>
  </si>
  <si>
    <t xml:space="preserve">GemPy</t>
  </si>
  <si>
    <t xml:space="preserve">Geoscience</t>
  </si>
  <si>
    <t xml:space="preserve">Implicit 3-D geological modelling</t>
  </si>
  <si>
    <t xml:space="preserve">EUPL / open</t>
  </si>
  <si>
    <t xml:space="preserve">Research to production</t>
  </si>
  <si>
    <t xml:space="preserve">The nearest open equivalent to Leapfrog. Not a mine-planning system, and the public mirror does not need one.</t>
  </si>
  <si>
    <t xml:space="preserve">mining-detector (Earth Genome)</t>
  </si>
  <si>
    <t xml:space="preserve">CNN ensemble for artisanal mine detection from Sentinel-2</t>
  </si>
  <si>
    <t xml:space="preserve">MIT (code); CC BY 4.0 (data)</t>
  </si>
  <si>
    <t xml:space="preserve">Earth Genome / Earthrise Media</t>
  </si>
  <si>
    <t xml:space="preserve">99.4% specificity / 89.5% sensitivity on a Venezuela geographic holdout. The obvious second-opinion detector.</t>
  </si>
  <si>
    <t xml:space="preserve">GeoPandas</t>
  </si>
  <si>
    <t xml:space="preserve">Vector geospatial data frames over shapely/pyproj</t>
  </si>
  <si>
    <t xml:space="preserve">GeoPandas community</t>
  </si>
  <si>
    <t xml:space="preserve">Ties shapely, pyproj and fiona together; an optional accelerator, not required by the core library.</t>
  </si>
  <si>
    <t xml:space="preserve">QField</t>
  </si>
  <si>
    <t xml:space="preserve">Field</t>
  </si>
  <si>
    <t xml:space="preserve">Mobile QGIS for offline field data collection</t>
  </si>
  <si>
    <t xml:space="preserve">OPENGIS.ch</t>
  </si>
  <si>
    <t xml:space="preserve">The natural way for an inspector to record a ground-truth visit and sync it back to the case register.</t>
  </si>
  <si>
    <t xml:space="preserve">WhiteboxTools</t>
  </si>
  <si>
    <t xml:space="preserve">Geomorphometry and hydrological DEM analysis</t>
  </si>
  <si>
    <t xml:space="preserve">MIT (core engine)</t>
  </si>
  <si>
    <t xml:space="preserve">Whitebox Geospatial / Dr. John Lindsay</t>
  </si>
  <si>
    <t xml:space="preserve">A lighter alternative to GRASS/SAGA for terrain-derivative work on the Copernicus DEM.</t>
  </si>
  <si>
    <t xml:space="preserve">SAGA GIS</t>
  </si>
  <si>
    <t xml:space="preserve">Terrain analysis and general geoprocessing</t>
  </si>
  <si>
    <t xml:space="preserve">SAGA community</t>
  </si>
  <si>
    <t xml:space="preserve">PDAL</t>
  </si>
  <si>
    <t xml:space="preserve">Point-cloud (LiDAR, drone photogrammetry) processing</t>
  </si>
  <si>
    <t xml:space="preserve">PDAL contributors / OSGeo</t>
  </si>
  <si>
    <t xml:space="preserve">Relevant where a deployment ingests drone or airborne LiDAR alongside satellite data — e.g. calibrating the DEM-differencing error model against a surveyed site.</t>
  </si>
  <si>
    <t xml:space="preserve">Zarr</t>
  </si>
  <si>
    <t xml:space="preserve">Chunked, compressed, cloud-native N-dimensional arrays</t>
  </si>
  <si>
    <t xml:space="preserve">Zarr community / NumFOCUS</t>
  </si>
  <si>
    <t xml:space="preserve">An alternative to COG for large multi-temporal cubes; pairs with xarray and dask.</t>
  </si>
  <si>
    <t xml:space="preserve">eo-learn</t>
  </si>
  <si>
    <t xml:space="preserve">Earth-observation processing pipelines as scikit-learn-style transformers</t>
  </si>
  <si>
    <t xml:space="preserve">Sinergise / community</t>
  </si>
  <si>
    <t xml:space="preserve">A patterned way to assemble a detector pipeline without hand-rolling glue code.</t>
  </si>
  <si>
    <t xml:space="preserve">MLflow</t>
  </si>
  <si>
    <t xml:space="preserve">Experiment tracking and model versioning</t>
  </si>
  <si>
    <t xml:space="preserve">Linux Foundation</t>
  </si>
  <si>
    <t xml:space="preserve">Gives the learned second-opinion detector the same version discipline the rule-based detectors get from ALGORITHM_VERSIONS — required once a model sits anywhere near the evidentiary path.</t>
  </si>
  <si>
    <t xml:space="preserve">Great Expectations</t>
  </si>
  <si>
    <t xml:space="preserve">Data quality</t>
  </si>
  <si>
    <t xml:space="preserve">Declarative data validation for pipelines</t>
  </si>
  <si>
    <t xml:space="preserve">Great Expectations community</t>
  </si>
  <si>
    <t xml:space="preserve">Catches a malformed registry export (wrong CRS, truncated file, schema drift) before it reaches a case, rather than after.</t>
  </si>
  <si>
    <t xml:space="preserve">Martin</t>
  </si>
  <si>
    <t xml:space="preserve">Fast vector-tile (MVT) server in Rust</t>
  </si>
  <si>
    <t xml:space="preserve">MapLibre organisation</t>
  </si>
  <si>
    <t xml:space="preserve">A lighter alternative to GeoServer/pygeoapi when only fast tile serving is needed.</t>
  </si>
  <si>
    <t xml:space="preserve">H3</t>
  </si>
  <si>
    <t xml:space="preserve">Hexagonal hierarchical spatial indexing</t>
  </si>
  <si>
    <t xml:space="preserve">Uber / community</t>
  </si>
  <si>
    <t xml:space="preserve">Useful for aggregating findings to a coarse grid for the political-register oversight brief without exposing exact site geometry.</t>
  </si>
  <si>
    <t xml:space="preserve">Folium / ipyleaflet</t>
  </si>
  <si>
    <t xml:space="preserve">Interactive maps inside notebooks</t>
  </si>
  <si>
    <t xml:space="preserve">Python-Visualization / Jupyter community</t>
  </si>
  <si>
    <t xml:space="preserve">Lets an analyst eyeball a case's imagery and mask overlays before it is corroborated, without leaving the analysis notebook.</t>
  </si>
  <si>
    <t xml:space="preserve">OpenSearch</t>
  </si>
  <si>
    <t xml:space="preserve">Log and full-text search, forked from Elasticsearch</t>
  </si>
  <si>
    <t xml:space="preserve">OpenSearch Software Foundation</t>
  </si>
  <si>
    <t xml:space="preserve">A home for indexing ledger entries, notices and public cards for full-text search on the public portal.</t>
  </si>
  <si>
    <t xml:space="preserve">Metabase (OSS edition)</t>
  </si>
  <si>
    <t xml:space="preserve">BI dashboards over the case register</t>
  </si>
  <si>
    <t xml:space="preserve">Metabase community</t>
  </si>
  <si>
    <t xml:space="preserve">Lighter to stand up than Superset for a Tier-1/Tier-2 deployment; AGPL implications apply if modified and exposed as a service, as with CKAN/Grafana.</t>
  </si>
  <si>
    <t xml:space="preserve">Capability mirror</t>
  </si>
  <si>
    <t xml:space="preserve">What the operator sees, what a public body can see from public data, and what cannot be mirrored at all.</t>
  </si>
  <si>
    <t xml:space="preserve">#</t>
  </si>
  <si>
    <t xml:space="preserve">Operator capability</t>
  </si>
  <si>
    <t xml:space="preserve">Vendor examples</t>
  </si>
  <si>
    <t xml:space="preserve">Public mirror</t>
  </si>
  <si>
    <t xml:space="preserve">Public data behind it</t>
  </si>
  <si>
    <t xml:space="preserve">Fidelity</t>
  </si>
  <si>
    <t xml:space="preserve">Assessment</t>
  </si>
  <si>
    <t xml:space="preserve">Tenure and permit management</t>
  </si>
  <si>
    <t xml:space="preserve">trueMINER, acQuire, Landfolio</t>
  </si>
  <si>
    <t xml:space="preserve">Cadastre engine — polygon register, overlap detection, title-status timeline</t>
  </si>
  <si>
    <t xml:space="preserve">SIGMINE (daily); EU member-state registries under Reg. 2023/138</t>
  </si>
  <si>
    <t xml:space="preserve">Full</t>
  </si>
  <si>
    <t xml:space="preserve">The registry IS the public copy. Nothing to reconstruct.</t>
  </si>
  <si>
    <t xml:space="preserve">Survey of the working surface</t>
  </si>
  <si>
    <t xml:space="preserve">Total station, drone photogrammetry</t>
  </si>
  <si>
    <t xml:space="preserve">Footprint delineation at 10 m, every 5 days</t>
  </si>
  <si>
    <t xml:space="preserve">Sentinel-2 L2A; Landsat 8/9 for the pre-2015 baseline</t>
  </si>
  <si>
    <t xml:space="preserve">High</t>
  </si>
  <si>
    <t xml:space="preserve">Operator wins on precision; public wins on frequency and history. For 'did it move outside the boundary', frequency wins.</t>
  </si>
  <si>
    <t xml:space="preserve">Volumetrics and progress</t>
  </si>
  <si>
    <t xml:space="preserve">Propeller, Strayos</t>
  </si>
  <si>
    <t xml:space="preserve">DEM differencing — cut/fill and implied tonnage with explicit uncertainty</t>
  </si>
  <si>
    <t xml:space="preserve">Copernicus DEM GLO-30; NASADEM; national photogrammetric DSMs</t>
  </si>
  <si>
    <t xml:space="preserve">Moderate</t>
  </si>
  <si>
    <t xml:space="preserve">Order-of-magnitude with wide intervals. An upper bound on extraction, never a production figure.</t>
  </si>
  <si>
    <t xml:space="preserve">Geotechnical and dam monitoring</t>
  </si>
  <si>
    <t xml:space="preserve">Rocscience, instrumented crests</t>
  </si>
  <si>
    <t xml:space="preserve">InSAR displacement screening — mm-scale movement and acceleration</t>
  </si>
  <si>
    <t xml:space="preserve">EGMS (Europe, free); Sentinel-1 via ISCE2/SNAP + MintPy/LiCSBAS elsewhere</t>
  </si>
  <si>
    <t xml:space="preserve">High for movement, none for cause</t>
  </si>
  <si>
    <t xml:space="preserve">Detects that a crest is moving. Cannot say why, and must not predict failure.</t>
  </si>
  <si>
    <t xml:space="preserve">Tailings and water management</t>
  </si>
  <si>
    <t xml:space="preserve">RPMGlobal, Envirosuite</t>
  </si>
  <si>
    <t xml:space="preserve">Pond extent, turbidity gradient, freeboard proxy</t>
  </si>
  <si>
    <t xml:space="preserve">Sentinel-2; JRC Global Surface Water; SIGBM; Global Tailings Portal</t>
  </si>
  <si>
    <t xml:space="preserve">Surface behaviour only. Turbidity is a trigger for sampling, not a contamination finding.</t>
  </si>
  <si>
    <t xml:space="preserve">Environmental monitoring</t>
  </si>
  <si>
    <t xml:space="preserve">Envirosuite, EnviroDataVault</t>
  </si>
  <si>
    <t xml:space="preserve">Impact screening — vegetation loss, deforestation alerts, plume proxies</t>
  </si>
  <si>
    <t xml:space="preserve">RADD; DETER/PRODES; MapBiomas; Sentinel-5P</t>
  </si>
  <si>
    <t xml:space="preserve">Moderate to high for land cover</t>
  </si>
  <si>
    <t xml:space="preserve">Low for ambient concentrations without ground stations. Do not overclaim.</t>
  </si>
  <si>
    <t xml:space="preserve">Metallurgical accounting</t>
  </si>
  <si>
    <t xml:space="preserve">INVENTEO (AMIRA P754)</t>
  </si>
  <si>
    <t xml:space="preserve">Declaration screening — intensity against peers; cross-filing consistency</t>
  </si>
  <si>
    <t xml:space="preserve">CFEM; Anuário Mineral; EITI; EU Ch. 10; ESTMA</t>
  </si>
  <si>
    <t xml:space="preserve">Low as measurement, high as triage</t>
  </si>
  <si>
    <t xml:space="preserve">Do NOT convert footprint to tonnes. You cannot compute their production; you can rank who is worth auditing.</t>
  </si>
  <si>
    <t xml:space="preserve">Stakeholder and grievance management</t>
  </si>
  <si>
    <t xml:space="preserve">Borealis</t>
  </si>
  <si>
    <t xml:space="preserve">Public grievance intake with a published response obligation</t>
  </si>
  <si>
    <t xml:space="preserve">Built, not borrowed (ODK/Kobo pattern)</t>
  </si>
  <si>
    <t xml:space="preserve">Arguably better than the commercial equivalent: the record is not held by the party complained about.</t>
  </si>
  <si>
    <t xml:space="preserve">EHS incident management</t>
  </si>
  <si>
    <t xml:space="preserve">Intelex, EHS Insight, SafetyIQ</t>
  </si>
  <si>
    <t xml:space="preserve">Public incident register cross-referenced with regulator and press records</t>
  </si>
  <si>
    <t xml:space="preserve">Agency bulletins, labour inspectorate data, press</t>
  </si>
  <si>
    <t xml:space="preserve">Partial</t>
  </si>
  <si>
    <t xml:space="preserve">Entirely dependent on the disclosure regime in force.</t>
  </si>
  <si>
    <t xml:space="preserve">Mine planning, scheduling, reserve modelling</t>
  </si>
  <si>
    <t xml:space="preserve">Deswik, Vulcan, Datamine, Leapfrog</t>
  </si>
  <si>
    <t xml:space="preserve">NONE</t>
  </si>
  <si>
    <t xml:space="preserve">Not mirrorable</t>
  </si>
  <si>
    <t xml:space="preserve">Requires the drillhole database. No open-source equivalent exists and the public mirror does not need one.</t>
  </si>
  <si>
    <t xml:space="preserve">Fleet management and dispatch</t>
  </si>
  <si>
    <t xml:space="preserve">Modular, Wenco, Cat MineStar</t>
  </si>
  <si>
    <t xml:space="preserve">Not mirrorable, and should not be</t>
  </si>
  <si>
    <t xml:space="preserve">A regulator has no business dispatching trucks. Saying so is what makes the rest credible.</t>
  </si>
  <si>
    <t xml:space="preserve">Process control / SCADA</t>
  </si>
  <si>
    <t xml:space="preserve">FrameworX, Rockwell, ABB</t>
  </si>
  <si>
    <t xml:space="preserve">Inside the plant, behind the fence, on the operator's network.</t>
  </si>
  <si>
    <t xml:space="preserve">Commercial landscape</t>
  </si>
  <si>
    <t xml:space="preserve">The products listed on sourceforge.net/software/mining/europe/, sorted by function. Treated here as a published capability specification, not an endorsement.</t>
  </si>
  <si>
    <t xml:space="preserve">Product</t>
  </si>
  <si>
    <t xml:space="preserve">Vendor</t>
  </si>
  <si>
    <t xml:space="preserve">Functional layer</t>
  </si>
  <si>
    <t xml:space="preserve">Self-described function</t>
  </si>
  <si>
    <t xml:space="preserve">Mirrorable from public data?</t>
  </si>
  <si>
    <t xml:space="preserve">trueMINER</t>
  </si>
  <si>
    <t xml:space="preserve">Tenure and permits</t>
  </si>
  <si>
    <t xml:space="preserve">Land management for tenure, exploration activities and permits</t>
  </si>
  <si>
    <t xml:space="preserve">Yes — fully</t>
  </si>
  <si>
    <t xml:space="preserve">MineCycle</t>
  </si>
  <si>
    <t xml:space="preserve">Bentley</t>
  </si>
  <si>
    <t xml:space="preserve">Mine design and survey</t>
  </si>
  <si>
    <t xml:space="preserve">Mine design, planning and survey with scheduling and bulk materials handling</t>
  </si>
  <si>
    <t xml:space="preserve">Extent only</t>
  </si>
  <si>
    <t xml:space="preserve">Promine</t>
  </si>
  <si>
    <t xml:space="preserve">Mine design</t>
  </si>
  <si>
    <t xml:space="preserve">CAD-integrated resource calculation, mine planning and scheduling</t>
  </si>
  <si>
    <t xml:space="preserve">No</t>
  </si>
  <si>
    <t xml:space="preserve">Reactore / MineOne</t>
  </si>
  <si>
    <t xml:space="preserve">Reactore</t>
  </si>
  <si>
    <t xml:space="preserve">Planning and execution</t>
  </si>
  <si>
    <t xml:space="preserve">Operational planning and digitalisation of mining activity</t>
  </si>
  <si>
    <t xml:space="preserve">ShiftManager</t>
  </si>
  <si>
    <t xml:space="preserve">RPMGlobal</t>
  </si>
  <si>
    <t xml:space="preserve">Short-interval control</t>
  </si>
  <si>
    <t xml:space="preserve">Real-time short-term planning and execution</t>
  </si>
  <si>
    <t xml:space="preserve">Lightship</t>
  </si>
  <si>
    <t xml:space="preserve">Automation glue</t>
  </si>
  <si>
    <t xml:space="preserve">Connects field, facility and office work across enterprise systems</t>
  </si>
  <si>
    <t xml:space="preserve">Blast Management System (BIMS)</t>
  </si>
  <si>
    <t xml:space="preserve">MineExcellence</t>
  </si>
  <si>
    <t xml:space="preserve">Drill and blast</t>
  </si>
  <si>
    <t xml:space="preserve">Planning, controlling and documenting drill and blast operations</t>
  </si>
  <si>
    <t xml:space="preserve">Rocscience</t>
  </si>
  <si>
    <t xml:space="preserve">Geotechnics</t>
  </si>
  <si>
    <t xml:space="preserve">2-D/3-D rock and soil stability analysis</t>
  </si>
  <si>
    <t xml:space="preserve">Movement only, via InSAR</t>
  </si>
  <si>
    <t xml:space="preserve">Propeller</t>
  </si>
  <si>
    <t xml:space="preserve">Propeller Aero</t>
  </si>
  <si>
    <t xml:space="preserve">Survey and volumetrics</t>
  </si>
  <si>
    <t xml:space="preserve">Drone mapping and 3-D analytics for earthworks progress</t>
  </si>
  <si>
    <t xml:space="preserve">Approximately, via DEM differencing</t>
  </si>
  <si>
    <t xml:space="preserve">Strayos</t>
  </si>
  <si>
    <t xml:space="preserve">3-D AI</t>
  </si>
  <si>
    <t xml:space="preserve">Visual AI on 3-D data for mine-to-mill digital twins</t>
  </si>
  <si>
    <t xml:space="preserve">RockWorks</t>
  </si>
  <si>
    <t xml:space="preserve">RockWare</t>
  </si>
  <si>
    <t xml:space="preserve">Geological modelling</t>
  </si>
  <si>
    <t xml:space="preserve">2-D/3-D subsurface mapping and geological modelling</t>
  </si>
  <si>
    <t xml:space="preserve">LogPlot8</t>
  </si>
  <si>
    <t xml:space="preserve">Geological logging</t>
  </si>
  <si>
    <t xml:space="preserve">Log plotting of geotechnical and mining data</t>
  </si>
  <si>
    <t xml:space="preserve">Surfer</t>
  </si>
  <si>
    <t xml:space="preserve">Golden Software</t>
  </si>
  <si>
    <t xml:space="preserve">Surfaces</t>
  </si>
  <si>
    <t xml:space="preserve">Data visualisation and modelling for geology and hydrology</t>
  </si>
  <si>
    <t xml:space="preserve">Partially — open equivalents exist</t>
  </si>
  <si>
    <t xml:space="preserve">HSC Chemistry</t>
  </si>
  <si>
    <t xml:space="preserve">Metso</t>
  </si>
  <si>
    <t xml:space="preserve">Process chemistry</t>
  </si>
  <si>
    <t xml:space="preserve">Thermodynamic calculations for mineral processing</t>
  </si>
  <si>
    <t xml:space="preserve">INVENTEO</t>
  </si>
  <si>
    <t xml:space="preserve">Caspeo</t>
  </si>
  <si>
    <t xml:space="preserve">Metal accounting compliant with the AMIRA P754 code</t>
  </si>
  <si>
    <t xml:space="preserve">Only as relative triage, never as measurement</t>
  </si>
  <si>
    <t xml:space="preserve">Envirosuite</t>
  </si>
  <si>
    <t xml:space="preserve">Real-time environmental monitoring turning sensor data into decisions</t>
  </si>
  <si>
    <t xml:space="preserve">Partially — land cover yes, ambient concentrations no</t>
  </si>
  <si>
    <t xml:space="preserve">EnviroDataVault</t>
  </si>
  <si>
    <t xml:space="preserve">Environmental data</t>
  </si>
  <si>
    <t xml:space="preserve">Environmental data capture and management across the mine lifecycle</t>
  </si>
  <si>
    <t xml:space="preserve">Partially</t>
  </si>
  <si>
    <t xml:space="preserve">Intelex</t>
  </si>
  <si>
    <t xml:space="preserve">Intelex Technologies</t>
  </si>
  <si>
    <t xml:space="preserve">EHSQ</t>
  </si>
  <si>
    <t xml:space="preserve">Integrated environment, health, safety and quality management</t>
  </si>
  <si>
    <t xml:space="preserve">Only the public-record part</t>
  </si>
  <si>
    <t xml:space="preserve">EHS Insight</t>
  </si>
  <si>
    <t xml:space="preserve">EHS</t>
  </si>
  <si>
    <t xml:space="preserve">Compliance and incident tracking</t>
  </si>
  <si>
    <t xml:space="preserve">SafetyIQ</t>
  </si>
  <si>
    <t xml:space="preserve">Workforce safety</t>
  </si>
  <si>
    <t xml:space="preserve">Mobile worker safety, fatigue management, training</t>
  </si>
  <si>
    <t xml:space="preserve">PeopleTray</t>
  </si>
  <si>
    <t xml:space="preserve">Workforce</t>
  </si>
  <si>
    <t xml:space="preserve">Worker safety, incident reporting, compliance, rosters</t>
  </si>
  <si>
    <t xml:space="preserve">Pervidi Mining</t>
  </si>
  <si>
    <t xml:space="preserve">Techs4Biz</t>
  </si>
  <si>
    <t xml:space="preserve">Inspections</t>
  </si>
  <si>
    <t xml:space="preserve">Mobile inspection and compliance with AI image recognition</t>
  </si>
  <si>
    <t xml:space="preserve">Inspectivity</t>
  </si>
  <si>
    <t xml:space="preserve">Digital inspection management for asset-centric workflows</t>
  </si>
  <si>
    <t xml:space="preserve">Dashpivot</t>
  </si>
  <si>
    <t xml:space="preserve">Sitemate</t>
  </si>
  <si>
    <t xml:space="preserve">Field records</t>
  </si>
  <si>
    <t xml:space="preserve">Consolidated field records, timesheets and incident reports</t>
  </si>
  <si>
    <t xml:space="preserve">Stakeholder engagement</t>
  </si>
  <si>
    <t xml:space="preserve">Social investment, grievance management, land management</t>
  </si>
  <si>
    <t xml:space="preserve">Yes — and arguably better in public hands</t>
  </si>
  <si>
    <t xml:space="preserve">4site</t>
  </si>
  <si>
    <t xml:space="preserve">fsc</t>
  </si>
  <si>
    <t xml:space="preserve">Asset management</t>
  </si>
  <si>
    <t xml:space="preserve">Maintenance, purchasing, inventory and accounting</t>
  </si>
  <si>
    <t xml:space="preserve">FrameworX</t>
  </si>
  <si>
    <t xml:space="preserve">Tatsoft</t>
  </si>
  <si>
    <t xml:space="preserve">SCADA / IIoT</t>
  </si>
  <si>
    <t xml:space="preserve">Industrial control combining operations, data and AI</t>
  </si>
  <si>
    <t xml:space="preserve">MineTwin</t>
  </si>
  <si>
    <t xml:space="preserve">Simulation</t>
  </si>
  <si>
    <t xml:space="preserve">Digital twins for decision support</t>
  </si>
  <si>
    <t xml:space="preserve">EarthCache</t>
  </si>
  <si>
    <t xml:space="preserve">SkyWatch</t>
  </si>
  <si>
    <t xml:space="preserve">EO access</t>
  </si>
  <si>
    <t xml:space="preserve">API access to satellite Earth observation data</t>
  </si>
  <si>
    <t xml:space="preserve">Yes — this is what CDSE provides for free</t>
  </si>
  <si>
    <t xml:space="preserve">Chemical/EAM others (Surfer, BAM!, etc.)</t>
  </si>
  <si>
    <t xml:space="preserve">various</t>
  </si>
  <si>
    <t xml:space="preserve">Support</t>
  </si>
  <si>
    <t xml:space="preserve">Broader market context — not from the SourceForge page itself</t>
  </si>
  <si>
    <t xml:space="preserve">The consolidated platforms behind the mine-planning and fleet layers the report says are NOT mirrorable (rows 10-12 of the Capability mirror sheet). Listed for completeness of the market picture, not as a gap this architecture tries to close.</t>
  </si>
  <si>
    <t xml:space="preserve">Deswik Suite</t>
  </si>
  <si>
    <t xml:space="preserve">Sandvik</t>
  </si>
  <si>
    <t xml:space="preserve">Mine design and scheduling</t>
  </si>
  <si>
    <t xml:space="preserve">Integrated mine planning, scheduling and geology</t>
  </si>
  <si>
    <t xml:space="preserve">Datamine</t>
  </si>
  <si>
    <t xml:space="preserve">Constellation Software</t>
  </si>
  <si>
    <t xml:space="preserve">Mine design and resource modelling</t>
  </si>
  <si>
    <t xml:space="preserve">Geology, resource estimation, mine planning and scheduling</t>
  </si>
  <si>
    <t xml:space="preserve">Vulcan</t>
  </si>
  <si>
    <t xml:space="preserve">Trimble</t>
  </si>
  <si>
    <t xml:space="preserve">3-D geological modelling, resource estimation and mine planning</t>
  </si>
  <si>
    <t xml:space="preserve">Leapfrog / Seequent Evo</t>
  </si>
  <si>
    <t xml:space="preserve">Bentley Systems</t>
  </si>
  <si>
    <t xml:space="preserve">Implicit 3-D geological and resource modelling</t>
  </si>
  <si>
    <t xml:space="preserve">Micromine</t>
  </si>
  <si>
    <t xml:space="preserve">Weir Group</t>
  </si>
  <si>
    <t xml:space="preserve">Geology, mine design, scheduling and equipment monitoring</t>
  </si>
  <si>
    <t xml:space="preserve">Maptek Vulcan/BlastLogic/PointStudio</t>
  </si>
  <si>
    <t xml:space="preserve">Maptek</t>
  </si>
  <si>
    <t xml:space="preserve">Geological modelling, blast design, laser-scan survey processing</t>
  </si>
  <si>
    <t xml:space="preserve">Survey extent only, via satellite in place of laser scan</t>
  </si>
  <si>
    <t xml:space="preserve">Hexagon Mining (HxGN MinePlan)</t>
  </si>
  <si>
    <t xml:space="preserve">Hexagon AB</t>
  </si>
  <si>
    <t xml:space="preserve">Mine planning and autonomy</t>
  </si>
  <si>
    <t xml:space="preserve">Mine planning, fleet management, autonomous-haulage integration</t>
  </si>
  <si>
    <t xml:space="preserve">Cat MineStar</t>
  </si>
  <si>
    <t xml:space="preserve">Caterpillar</t>
  </si>
  <si>
    <t xml:space="preserve">Fleet management and autonomy</t>
  </si>
  <si>
    <t xml:space="preserve">Fleet dispatch, terrain, detect and health monitoring for Cat equipment</t>
  </si>
  <si>
    <t xml:space="preserve">Modular Mining (DISPATCH)</t>
  </si>
  <si>
    <t xml:space="preserve">Komatsu</t>
  </si>
  <si>
    <t xml:space="preserve">Fleet management</t>
  </si>
  <si>
    <t xml:space="preserve">Real-time fleet dispatch and production tracking</t>
  </si>
  <si>
    <t xml:space="preserve">Wenco Mining Systems</t>
  </si>
  <si>
    <t xml:space="preserve">Hitachi Construction Machinery</t>
  </si>
  <si>
    <t xml:space="preserve">Fleet management and autonomous-haulage system</t>
  </si>
  <si>
    <t xml:space="preserve">Market consolidation record</t>
  </si>
  <si>
    <t xml:space="preserve">Global Mining Tech 50 (IMARC / Mines and Money)</t>
  </si>
  <si>
    <t xml:space="preserve">Top 50 vendors sold ~US$6.8 bn of mining/metals technology in 2025; +73.5% over five years.</t>
  </si>
  <si>
    <t xml:space="preserve">Caterpillar → RPMGlobal</t>
  </si>
  <si>
    <t xml:space="preserve">~US$728–735 m; completed February 2026.</t>
  </si>
  <si>
    <t xml:space="preserve">Weir → Micromine</t>
  </si>
  <si>
    <t xml:space="preserve">~US$840 m; completed April 2025.</t>
  </si>
  <si>
    <t xml:space="preserve">Sandvik → Deswik</t>
  </si>
  <si>
    <t xml:space="preserve">Owned.</t>
  </si>
  <si>
    <t xml:space="preserve">Bentley → Seequent</t>
  </si>
  <si>
    <t xml:space="preserve">Leapfrog, Evo.</t>
  </si>
  <si>
    <t xml:space="preserve">30+ mining software firms acquired since 2011; flagship Datamine.</t>
  </si>
  <si>
    <t xml:space="preserve">Epiroc</t>
  </si>
  <si>
    <t xml:space="preserve">13 mining-technology firms acquired since 2021.</t>
  </si>
  <si>
    <t xml:space="preserve">Implication for a regulator</t>
  </si>
  <si>
    <t xml:space="preserve">Planning, execution and reporting increasingly sit inside one commercial relationship, and the interfaces between them are not public.</t>
  </si>
  <si>
    <t xml:space="preserve">Jurisdictions</t>
  </si>
  <si>
    <t xml:space="preserve">The registries and legal hooks a deployment needs per country: cadastre, production/royalty disclosure, protected-area and dam-safety registers, and the due-process basis. Verified 19 Aug 2026 from each register's own site — re-verify before procurement, since several of these systems are mid-reform.</t>
  </si>
  <si>
    <t xml:space="preserve">Jurisdiction</t>
  </si>
  <si>
    <t xml:space="preserve">Title / cadastre registry</t>
  </si>
  <si>
    <t xml:space="preserve">Production or royalty disclosure</t>
  </si>
  <si>
    <t xml:space="preserve">Protected-area / environmental register</t>
  </si>
  <si>
    <t xml:space="preserve">Dam-safety regime</t>
  </si>
  <si>
    <t xml:space="preserve">Due-process legal basis</t>
  </si>
  <si>
    <t xml:space="preserve">ANM SIGMINE + Cadastro Mineiro (daily, SHP/KML)</t>
  </si>
  <si>
    <t xml:space="preserve">CFEM (royalties) + Anuário Mineral Brasileiro (production)</t>
  </si>
  <si>
    <t xml:space="preserve">CNUC (conservation units); FUNAI (Indigenous Lands)</t>
  </si>
  <si>
    <t xml:space="preserve">SIGBM under Lei 12.334/2010 + Lei 14.066/2020 (PNSB)</t>
  </si>
  <si>
    <t xml:space="preserve">CF/88 art. 5 LIV/LV; Lei 9.784/1999; Lei 9.605/1998; Lei 12.527/2011 (LAI)</t>
  </si>
  <si>
    <t xml:space="preserve">The strongest combination in this table: polygon, royalty, dam and access-to-information regimes are all open and machine-readable today.</t>
  </si>
  <si>
    <t xml:space="preserve">European Union (member states)</t>
  </si>
  <si>
    <t xml:space="preserve">National cadastres under Reg. (EU) 2023/138 high-value datasets</t>
  </si>
  <si>
    <t xml:space="preserve">EU Accounting Directive Ch. 10 (payments to governments)</t>
  </si>
  <si>
    <t xml:space="preserve">Natura 2000 / national protected-area registers under Directives 92/43/EEC, 2009/147/EC</t>
  </si>
  <si>
    <t xml:space="preserve">Directive 2006/21/EC (extractive waste); national dam-safety law</t>
  </si>
  <si>
    <t xml:space="preserve">EU Charter arts. 41/47; Directive 2003/4/EC (environmental information); Aarhus Convention</t>
  </si>
  <si>
    <t xml:space="preserve">The Union has legislated the supply side directly: HVD compliance was due ~mid-2024, ahead of most jurisdictions in this table.</t>
  </si>
  <si>
    <t xml:space="preserve">INGEMMET GEOCATMIN / e-Catastro Minero</t>
  </si>
  <si>
    <t xml:space="preserve">MINEM production statistics; REINFO for artisanal/small-scale formalisation</t>
  </si>
  <si>
    <t xml:space="preserve">SERNANP (protected natural areas)</t>
  </si>
  <si>
    <t xml:space="preserve">ANA / ANM (Peru) dam oversight — supervision less centralised than Brazil's SIGBM</t>
  </si>
  <si>
    <t xml:space="preserve">Ley del Procedimiento Administrativo General (Ley 27444); constitutional due process</t>
  </si>
  <si>
    <t xml:space="preserve">REINFO's formalisation-in-progress status is itself a signal worth screening: activity outside any REINFO or concession polygon is unambiguous.</t>
  </si>
  <si>
    <t xml:space="preserve">SERNAGEOMIN Catastro Minero Online (pertenencias)</t>
  </si>
  <si>
    <t xml:space="preserve">SERNAGEOMIN production statistics; Servicio de Impuestos Internos royalty filings</t>
  </si>
  <si>
    <t xml:space="preserve">SNASPE / Ministerio del Medio Ambiente protected areas</t>
  </si>
  <si>
    <t xml:space="preserve">SERNAGEOMIN relaves (tailings) registry, tightened after Ley 21.430 and post-2019 reforms</t>
  </si>
  <si>
    <t xml:space="preserve">Ley 19.880 (bases de procedimientos administrativos)</t>
  </si>
  <si>
    <t xml:space="preserve">One of the more mature Latin American cadastres; pair with the relaves registry for the dam-safety layer.</t>
  </si>
  <si>
    <t xml:space="preserve">CAMI Cadastre Minier web portal</t>
  </si>
  <si>
    <t xml:space="preserve">Ministry of Mines statistics; EITI-DRC reports</t>
  </si>
  <si>
    <t xml:space="preserve">ICCN (protected areas)</t>
  </si>
  <si>
    <t xml:space="preserve">No centralised public dam registry identified — treat as a gap to flag, not to assume covered</t>
  </si>
  <si>
    <t xml:space="preserve">Loi minière (as revised); constitutional due-process guarantees</t>
  </si>
  <si>
    <t xml:space="preserve">Verify current polygon vintage before boundary work; CAMI has run since the 2010s but update cadence is not published to the standard SIGMINE sets.</t>
  </si>
  <si>
    <t xml:space="preserve">Minerals Commission Mining Cadastre (MCAS) + Ghana Mining Repository</t>
  </si>
  <si>
    <t xml:space="preserve">Minerals Commission / GRA royalty statistics; EITI-Ghana reports</t>
  </si>
  <si>
    <t xml:space="preserve">Forestry Commission reserves; EPA environmental permits</t>
  </si>
  <si>
    <t xml:space="preserve">Ghana has no SIGBM-scale public tailings register identified — a gap</t>
  </si>
  <si>
    <t xml:space="preserve">Constitution art. 23 (administrative justice); Minerals and Mining Act 2006 (Act 703)</t>
  </si>
  <si>
    <t xml:space="preserve">The Ghana Mining Repository publishes licence and payment data in a more analysis-ready form than the cadastre portal itself.</t>
  </si>
  <si>
    <t xml:space="preserve">SAMRAD (rights) — CAUTION: independent reporting through 2026 describes it as unreliable, with a replacement system delayed</t>
  </si>
  <si>
    <t xml:space="preserve">DMPR statistics; Mining Charter reporting; EITI is not implemented in South Africa</t>
  </si>
  <si>
    <t xml:space="preserve">SANParks / provincial conservation agencies</t>
  </si>
  <si>
    <t xml:space="preserve">Department publishes a dam-safety framework; no public per-structure register at SIGBM's granularity identified</t>
  </si>
  <si>
    <t xml:space="preserve">Constitution s. 33 (just administrative action); Promotion of Administrative Justice Act 3 of 2000</t>
  </si>
  <si>
    <t xml:space="preserve">Treat any SAMRAD title status as a lead to confirm through a parallel channel, not a fact to act on, until the cadastre replacement lands.</t>
  </si>
  <si>
    <t xml:space="preserve">MinerbaOne / MODI (Kementerian ESDM) — mid-migration between systems</t>
  </si>
  <si>
    <t xml:space="preserve">RKAB work-plan and production filings via the same portal</t>
  </si>
  <si>
    <t xml:space="preserve">KLHK forestry/environmental permit and forest-cover layers</t>
  </si>
  <si>
    <t xml:space="preserve">No centralised public tailings-dam register identified at SIGBM's granularity</t>
  </si>
  <si>
    <t xml:space="preserve">UU No. 30/2014 (administrasi pemerintahan); constitutional due process</t>
  </si>
  <si>
    <t xml:space="preserve">Confirm which endpoint (legacy MODI vs MinerbaOne) is live before integrating; the ministry has been actively migrating filings during 2026.</t>
  </si>
  <si>
    <t xml:space="preserve">Australia (Commonwealth + states)</t>
  </si>
  <si>
    <t xml:space="preserve">State-run cadastres — e.g. Geoscience Australia national context plus state systems (WA Tengraph, NSW MinView, Qld MyMinesOnline)</t>
  </si>
  <si>
    <t xml:space="preserve">State royalty statistics; ASX continuous-disclosure filings for listed operators</t>
  </si>
  <si>
    <t xml:space="preserve">CAPAD (protected areas database, DCCEEW)</t>
  </si>
  <si>
    <t xml:space="preserve">State-based dam-safety regulation (e.g. Qld's dam-safety regime); no single national register</t>
  </si>
  <si>
    <t xml:space="preserve">Administrative Decisions (Judicial Review) Act 1977; state equivalents</t>
  </si>
  <si>
    <t xml:space="preserve">Mining regulation is state-run — a deployment needs one connector per state cadastre rather than one national feed, unlike Brazil or the EU HVD regime.</t>
  </si>
  <si>
    <t xml:space="preserve">Canada (Federal + provinces)</t>
  </si>
  <si>
    <t xml:space="preserve">Provincial mineral-claim registries (e.g. Ontario Mining Lands Administration System, BC Mineral Titles Online)</t>
  </si>
  <si>
    <t xml:space="preserve">ESTMA (payments to governments); provincial royalty statistics</t>
  </si>
  <si>
    <t xml:space="preserve">CPCAD (Canadian protected and conserved areas database)</t>
  </si>
  <si>
    <t xml:space="preserve">Provincial dam-safety regulation; federal oversight for tailings under CEPA/Fisheries Act for water impacts</t>
  </si>
  <si>
    <t xml:space="preserve">Canadian Charter s. 7; provincial administrative-procedure statutes</t>
  </si>
  <si>
    <t xml:space="preserve">ESTMA is one of the cleanest cross-filing checks available anywhere in this table — federal, standardised, and already machine-readable.</t>
  </si>
  <si>
    <t xml:space="preserve">United States</t>
  </si>
  <si>
    <t xml:space="preserve">BLM LR2000 (federal claims) + state-level programs</t>
  </si>
  <si>
    <t xml:space="preserve">USGS Mineral Commodity Summaries; SEC filings for listed operators</t>
  </si>
  <si>
    <t xml:space="preserve">PAD-US (Protected Areas Database of the US)</t>
  </si>
  <si>
    <t xml:space="preserve">State dam-safety programs; federal oversight limited outside listed structures</t>
  </si>
  <si>
    <t xml:space="preserve">Administrative Procedure Act (5 U.S.C. §551 et seq.); Fifth/Fourteenth Amendment due process</t>
  </si>
  <si>
    <t xml:space="preserve">No federal mining cadastre equivalent to SIGMINE; claims are federal (BLM) but permitting and much reporting is state-level, so coverage is uneven by state.</t>
  </si>
  <si>
    <t xml:space="preserve">Data volume against the Copernicus free-tier quota</t>
  </si>
  <si>
    <t xml:space="preserve">Edit the yellow cells. Everything else is calculated. Quota figures are as published at documentation.dataspace.copernicus.eu/Quotas.html and were checked on 19 Aug 2026.</t>
  </si>
  <si>
    <t xml:space="preserve">INPUTS</t>
  </si>
  <si>
    <t xml:space="preserve">Sites monitored</t>
  </si>
  <si>
    <t xml:space="preserve">Tier 1 ≈ 20; Tier 2 ≈ 500; Tier 3 = the full cadastre</t>
  </si>
  <si>
    <t xml:space="preserve">Mean site area (ha)</t>
  </si>
  <si>
    <t xml:space="preserve">Licence polygon plus a 1 km assessment apron</t>
  </si>
  <si>
    <t xml:space="preserve">Sentinel-2 bands retained</t>
  </si>
  <si>
    <t xml:space="preserve">The library needs six: B02 B03 B04 B08 B11 B12</t>
  </si>
  <si>
    <t xml:space="preserve">Bytes per pixel per band</t>
  </si>
  <si>
    <t xml:space="preserve">uint16</t>
  </si>
  <si>
    <t xml:space="preserve">Acquisitions composited per month</t>
  </si>
  <si>
    <t xml:space="preserve">5-day revisit ⇒ about six per month</t>
  </si>
  <si>
    <t xml:space="preserve">Months of history to backfill</t>
  </si>
  <si>
    <t xml:space="preserve">2015 to date is roughly 130 months</t>
  </si>
  <si>
    <t xml:space="preserve">Compression ratio achieved</t>
  </si>
  <si>
    <t xml:space="preserve">COG with DEFLATE on 10 m reflectance</t>
  </si>
  <si>
    <t xml:space="preserve">PUBLISHED FREE-TIER QUOTAS</t>
  </si>
  <si>
    <t xml:space="preserve">S3 / OData / STAC transfer, per rolling 30 days (TB)</t>
  </si>
  <si>
    <t xml:space="preserve">Direct COG requests per month</t>
  </si>
  <si>
    <t xml:space="preserve">Sentinel Hub requests per month</t>
  </si>
  <si>
    <t xml:space="preserve">Sentinel Hub processing units per month</t>
  </si>
  <si>
    <t xml:space="preserve">CALCULATED</t>
  </si>
  <si>
    <t xml:space="preserve">Pixels per site (10 m)</t>
  </si>
  <si>
    <t xml:space="preserve">Bytes per site per acquisition</t>
  </si>
  <si>
    <t xml:space="preserve">GB per month, all sites, uncompressed</t>
  </si>
  <si>
    <t xml:space="preserve">GB per month, all sites, compressed</t>
  </si>
  <si>
    <t xml:space="preserve">TB per month, compressed</t>
  </si>
  <si>
    <t xml:space="preserve">Share of the 12 TB / 30-day transfer quota</t>
  </si>
  <si>
    <t xml:space="preserve">One-off backfill volume (TB, compressed)</t>
  </si>
  <si>
    <t xml:space="preserve">Months to backfill inside quota</t>
  </si>
  <si>
    <t xml:space="preserve">Local storage for the backfill (TB)</t>
  </si>
  <si>
    <t xml:space="preserve">Distinct S2 tiles touched (whole-granule alternative)</t>
  </si>
  <si>
    <t xml:space="preserve">If a deployment pulls whole granules instead of clipping to the AOI with COG range requests. Still inside quota, but ~600x the traffic.</t>
  </si>
  <si>
    <t xml:space="preserve">Whole-granule traffic (TB/month)</t>
  </si>
  <si>
    <t xml:space="preserve">Assumes ~1 GB per L2A granule.</t>
  </si>
  <si>
    <t xml:space="preserve">COST</t>
  </si>
  <si>
    <t xml:space="preserve">Imagery licence cost</t>
  </si>
  <si>
    <t xml:space="preserve">Copernicus data is free, full and open. This cell is zero by policy, not by estimate.</t>
  </si>
  <si>
    <t xml:space="preserve">Software licence cost</t>
  </si>
  <si>
    <t xml:space="preserve">Every component in the 'Open source' sheet is OSI-licensed. Excludes support contracts, which a public body may still want.</t>
  </si>
  <si>
    <t xml:space="preserve">Assumed storage cost per TB-month</t>
  </si>
  <si>
    <t xml:space="preserve">Annual storage cost</t>
  </si>
  <si>
    <t xml:space="preserve">Assumed compute cost per site-month</t>
  </si>
  <si>
    <t xml:space="preserve">Annual compute cost</t>
  </si>
  <si>
    <t xml:space="preserve">Annual infrastructure subtotal</t>
  </si>
  <si>
    <t xml:space="preserve">STAFF — the real cost</t>
  </si>
  <si>
    <t xml:space="preserve">Analysts (triage)</t>
  </si>
  <si>
    <t xml:space="preserve">Technical officers (corroboration)</t>
  </si>
  <si>
    <t xml:space="preserve">Fully loaded cost per FTE per year</t>
  </si>
  <si>
    <t xml:space="preserve">Annual staff cost</t>
  </si>
  <si>
    <t xml:space="preserve">TOTAL annual cost</t>
  </si>
  <si>
    <t xml:space="preserve">Cost per site monitored per year</t>
  </si>
  <si>
    <t xml:space="preserve">Sites per member of technical staff</t>
  </si>
  <si>
    <t xml:space="preserve">Read the last two rows, not the total.</t>
  </si>
  <si>
    <t xml:space="preserve">The argument this model supports is not that oversight becomes cheap. It is that the marginal cost of adding one more site to a monitoring programme is nearly zero, which is the opposite of the cost structure of physical inspection. The staff line dominates, and it should: this is a capacity programme, not a technology purchase.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</si>
</sst>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#,##0.00"/>
    <numFmt numFmtId="168" formatCode="#,##0.000"/>
    <numFmt numFmtId="169" formatCode="0.0%"/>
    <numFmt numFmtId="170" formatCode="#,##0.0"/>
    <numFmt numFmtId="171" formatCode="\€#,##0"/>
    <numFmt numFmtId="172" formatCode="\€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pabilityMirror" displayName="CapabilityMirror" ref="A4:G16" headerRowCount="1" totalsRowCount="0" totalsRowShown="0">
  <autoFilter ref="A4:G16"/>
  <tableColumns count="7">
    <tableColumn id="1" name="#"/>
    <tableColumn id="2" name="Operator capability"/>
    <tableColumn id="3" name="Vendor examples"/>
    <tableColumn id="4" name="Public mirror"/>
    <tableColumn id="5" name="Public data behind it"/>
    <tableColumn id="6" name="Fidelity"/>
    <tableColumn id="7" name="Assessment"/>
  </tableColumns>
</table>
</file>

<file path=xl/tables/table2.xml><?xml version="1.0" encoding="utf-8"?>
<table xmlns="http://schemas.openxmlformats.org/spreadsheetml/2006/main" id="2" name="Commercial" displayName="Commercial" ref="A4:E34" headerRowCount="1" totalsRowCount="0" totalsRowShown="0">
  <autoFilter ref="A4:E34"/>
  <tableColumns count="5">
    <tableColumn id="1" name="Product"/>
    <tableColumn id="2" name="Vendor"/>
    <tableColumn id="3" name="Functional layer"/>
    <tableColumn id="4" name="Self-described function"/>
    <tableColumn id="5" name="Mirrorable from public data?"/>
  </tableColumns>
</table>
</file>

<file path=xl/tables/table3.xml><?xml version="1.0" encoding="utf-8"?>
<table xmlns="http://schemas.openxmlformats.org/spreadsheetml/2006/main" id="3" name="Jurisdictions" displayName="Jurisdictions" ref="A4:G15" headerRowCount="1" totalsRowCount="0" totalsRowShown="0">
  <autoFilter ref="A4:G15"/>
  <tableColumns count="7">
    <tableColumn id="1" name="Jurisdiction"/>
    <tableColumn id="2" name="Title / cadastre registry"/>
    <tableColumn id="3" name="Production or royalty disclosure"/>
    <tableColumn id="4" name="Protected-area / environmental register"/>
    <tableColumn id="5" name="Dam-safety regime"/>
    <tableColumn id="6" name="Due-process legal basis"/>
    <tableColumn id="7" name="Notes"/>
  </tableColumns>
</table>
</file>

<file path=xl/tables/table4.xml><?xml version="1.0" encoding="utf-8"?>
<table xmlns="http://schemas.openxmlformats.org/spreadsheetml/2006/main" id="4" name="OpenSource" displayName="OpenSource" ref="A4:G61" headerRowCount="1" totalsRowCount="0" totalsRowShown="0">
  <autoFilter ref="A4:G61"/>
  <tableColumns count="7">
    <tableColumn id="1" name="Component"/>
    <tableColumn id="2" name="Layer"/>
    <tableColumn id="3" name="Function"/>
    <tableColumn id="4" name="Licence"/>
    <tableColumn id="5" name="Governance"/>
    <tableColumn id="6" name="Maturity"/>
    <tableColumn id="7" name="Risk note"/>
  </tableColumns>
</table>
</file>

<file path=xl/tables/table5.xml><?xml version="1.0" encoding="utf-8"?>
<table xmlns="http://schemas.openxmlformats.org/spreadsheetml/2006/main" id="5" name="PublicData" displayName="PublicData" ref="A4:K44" headerRowCount="1" totalsRowCount="0" totalsRowShown="0">
  <autoFilter ref="A4:K44"/>
  <tableColumns count="11">
    <tableColumn id="1" name="Source"/>
    <tableColumn id="2" name="Category"/>
    <tableColumn id="3" name="Publisher"/>
    <tableColumn id="4" name="Coverage"/>
    <tableColumn id="5" name="Resolution / detail"/>
    <tableColumn id="6" name="Cadence / latency"/>
    <tableColumn id="7" name="Licence"/>
    <tableColumn id="8" name="Access"/>
    <tableColumn id="9" name="Endpoint or DOI"/>
    <tableColumn id="10" name="Question it answers"/>
    <tableColumn id="11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6"/>
  </cols>
  <sheetData>
    <row r="1" customFormat="false" ht="22.0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/>
      <c r="B3" s="3"/>
    </row>
    <row r="4" customFormat="false" ht="15" hidden="false" customHeight="false" outlineLevel="0" collapsed="false">
      <c r="A4" s="4" t="s">
        <v>1</v>
      </c>
      <c r="B4" s="3" t="s">
        <v>2</v>
      </c>
    </row>
    <row r="5" customFormat="false" ht="15" hidden="false" customHeight="false" outlineLevel="0" collapsed="false">
      <c r="A5" s="4" t="s">
        <v>3</v>
      </c>
      <c r="B5" s="3" t="s">
        <v>4</v>
      </c>
    </row>
    <row r="6" customFormat="false" ht="15" hidden="false" customHeight="false" outlineLevel="0" collapsed="false">
      <c r="A6" s="4" t="s">
        <v>5</v>
      </c>
      <c r="B6" s="3" t="s">
        <v>6</v>
      </c>
    </row>
    <row r="7" customFormat="false" ht="15" hidden="false" customHeight="false" outlineLevel="0" collapsed="false">
      <c r="A7" s="2"/>
      <c r="B7" s="3"/>
    </row>
    <row r="8" customFormat="false" ht="35.05" hidden="false" customHeight="false" outlineLevel="0" collapsed="false">
      <c r="A8" s="4" t="s">
        <v>7</v>
      </c>
      <c r="B8" s="3" t="s">
        <v>8</v>
      </c>
    </row>
    <row r="9" customFormat="false" ht="15" hidden="false" customHeight="false" outlineLevel="0" collapsed="false">
      <c r="A9" s="2"/>
      <c r="B9" s="3"/>
    </row>
    <row r="10" customFormat="false" ht="15" hidden="false" customHeight="false" outlineLevel="0" collapsed="false">
      <c r="A10" s="4" t="s">
        <v>9</v>
      </c>
      <c r="B10" s="3"/>
    </row>
    <row r="11" customFormat="false" ht="15" hidden="false" customHeight="false" outlineLevel="0" collapsed="false">
      <c r="A11" s="2" t="s">
        <v>10</v>
      </c>
      <c r="B11" s="3" t="s">
        <v>11</v>
      </c>
    </row>
    <row r="12" customFormat="false" ht="15" hidden="false" customHeight="false" outlineLevel="0" collapsed="false">
      <c r="A12" s="2" t="s">
        <v>12</v>
      </c>
      <c r="B12" s="3" t="s">
        <v>13</v>
      </c>
    </row>
    <row r="13" customFormat="false" ht="23.85" hidden="false" customHeight="false" outlineLevel="0" collapsed="false">
      <c r="A13" s="2" t="s">
        <v>14</v>
      </c>
      <c r="B13" s="3" t="s">
        <v>15</v>
      </c>
    </row>
    <row r="14" customFormat="false" ht="15" hidden="false" customHeight="false" outlineLevel="0" collapsed="false">
      <c r="A14" s="2" t="s">
        <v>16</v>
      </c>
      <c r="B14" s="3" t="s">
        <v>17</v>
      </c>
    </row>
    <row r="15" customFormat="false" ht="23.85" hidden="false" customHeight="false" outlineLevel="0" collapsed="false">
      <c r="A15" s="2" t="s">
        <v>18</v>
      </c>
      <c r="B15" s="3" t="s">
        <v>19</v>
      </c>
    </row>
    <row r="16" customFormat="false" ht="15" hidden="false" customHeight="false" outlineLevel="0" collapsed="false">
      <c r="A16" s="2" t="s">
        <v>20</v>
      </c>
      <c r="B16" s="3" t="s">
        <v>21</v>
      </c>
    </row>
    <row r="17" customFormat="false" ht="15" hidden="false" customHeight="false" outlineLevel="0" collapsed="false">
      <c r="A17" s="2"/>
      <c r="B17" s="3"/>
    </row>
    <row r="18" customFormat="false" ht="23.85" hidden="false" customHeight="false" outlineLevel="0" collapsed="false">
      <c r="A18" s="4" t="s">
        <v>22</v>
      </c>
      <c r="B18" s="3" t="s">
        <v>23</v>
      </c>
    </row>
    <row r="19" customFormat="false" ht="15" hidden="false" customHeight="false" outlineLevel="0" collapsed="false">
      <c r="A19" s="2"/>
      <c r="B19" s="3"/>
    </row>
    <row r="20" customFormat="false" ht="23.85" hidden="false" customHeight="false" outlineLevel="0" collapsed="false">
      <c r="A20" s="4" t="s">
        <v>24</v>
      </c>
      <c r="B20" s="3" t="s">
        <v>25</v>
      </c>
    </row>
    <row r="21" customFormat="false" ht="15" hidden="false" customHeight="false" outlineLevel="0" collapsed="false">
      <c r="A21" s="2"/>
      <c r="B21" s="3"/>
    </row>
    <row r="22" customFormat="false" ht="23.85" hidden="false" customHeight="false" outlineLevel="0" collapsed="false">
      <c r="A22" s="4" t="s">
        <v>26</v>
      </c>
      <c r="B22" s="3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22"/>
    <col collapsed="false" customWidth="true" hidden="false" outlineLevel="0" max="5" min="5" style="0" width="34"/>
    <col collapsed="false" customWidth="true" hidden="false" outlineLevel="0" max="8" min="6" style="0" width="24"/>
    <col collapsed="false" customWidth="true" hidden="false" outlineLevel="0" max="9" min="9" style="0" width="34"/>
    <col collapsed="false" customWidth="true" hidden="false" outlineLevel="0" max="10" min="10" style="0" width="40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5" t="s">
        <v>28</v>
      </c>
    </row>
    <row r="2" customFormat="false" ht="15" hidden="false" customHeight="false" outlineLevel="0" collapsed="false">
      <c r="A2" s="6" t="s">
        <v>29</v>
      </c>
    </row>
    <row r="4" customFormat="false" ht="15" hidden="false" customHeight="false" outlineLevel="0" collapsed="false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  <c r="H4" s="7" t="s">
        <v>37</v>
      </c>
      <c r="I4" s="7" t="s">
        <v>38</v>
      </c>
      <c r="J4" s="7" t="s">
        <v>39</v>
      </c>
      <c r="K4" s="7" t="s">
        <v>40</v>
      </c>
    </row>
    <row r="5" customFormat="false" ht="57.75" hidden="false" customHeight="true" outlineLevel="0" collapsed="false">
      <c r="A5" s="8" t="s">
        <v>41</v>
      </c>
      <c r="B5" s="8" t="s">
        <v>42</v>
      </c>
      <c r="C5" s="8" t="s">
        <v>43</v>
      </c>
      <c r="D5" s="8" t="s">
        <v>44</v>
      </c>
      <c r="E5" s="8" t="s">
        <v>45</v>
      </c>
      <c r="F5" s="8" t="s">
        <v>46</v>
      </c>
      <c r="G5" s="8" t="s">
        <v>47</v>
      </c>
      <c r="H5" s="8" t="s">
        <v>48</v>
      </c>
      <c r="I5" s="8" t="s">
        <v>49</v>
      </c>
      <c r="J5" s="8" t="s">
        <v>50</v>
      </c>
      <c r="K5" s="8" t="s">
        <v>51</v>
      </c>
    </row>
    <row r="6" customFormat="false" ht="57.75" hidden="false" customHeight="true" outlineLevel="0" collapsed="false">
      <c r="A6" s="8" t="s">
        <v>52</v>
      </c>
      <c r="B6" s="8" t="s">
        <v>53</v>
      </c>
      <c r="C6" s="8" t="s">
        <v>43</v>
      </c>
      <c r="D6" s="8" t="s">
        <v>44</v>
      </c>
      <c r="E6" s="8" t="s">
        <v>54</v>
      </c>
      <c r="F6" s="8" t="s">
        <v>55</v>
      </c>
      <c r="G6" s="8" t="s">
        <v>47</v>
      </c>
      <c r="H6" s="8" t="s">
        <v>56</v>
      </c>
      <c r="I6" s="8" t="s">
        <v>49</v>
      </c>
      <c r="J6" s="8" t="s">
        <v>57</v>
      </c>
      <c r="K6" s="8" t="s">
        <v>58</v>
      </c>
    </row>
    <row r="7" customFormat="false" ht="57.75" hidden="false" customHeight="true" outlineLevel="0" collapsed="false">
      <c r="A7" s="8" t="s">
        <v>59</v>
      </c>
      <c r="B7" s="8" t="s">
        <v>60</v>
      </c>
      <c r="C7" s="8" t="s">
        <v>43</v>
      </c>
      <c r="D7" s="8" t="s">
        <v>44</v>
      </c>
      <c r="E7" s="8" t="s">
        <v>61</v>
      </c>
      <c r="F7" s="8" t="s">
        <v>62</v>
      </c>
      <c r="G7" s="8" t="s">
        <v>47</v>
      </c>
      <c r="H7" s="8" t="s">
        <v>63</v>
      </c>
      <c r="I7" s="8" t="s">
        <v>49</v>
      </c>
      <c r="J7" s="8" t="s">
        <v>64</v>
      </c>
      <c r="K7" s="8" t="s">
        <v>65</v>
      </c>
    </row>
    <row r="8" customFormat="false" ht="57.75" hidden="false" customHeight="true" outlineLevel="0" collapsed="false">
      <c r="A8" s="8" t="s">
        <v>66</v>
      </c>
      <c r="B8" s="8" t="s">
        <v>67</v>
      </c>
      <c r="C8" s="8" t="s">
        <v>43</v>
      </c>
      <c r="D8" s="8" t="s">
        <v>68</v>
      </c>
      <c r="E8" s="8" t="s">
        <v>69</v>
      </c>
      <c r="F8" s="8" t="s">
        <v>70</v>
      </c>
      <c r="G8" s="8" t="s">
        <v>71</v>
      </c>
      <c r="H8" s="8" t="s">
        <v>72</v>
      </c>
      <c r="I8" s="8" t="s">
        <v>73</v>
      </c>
      <c r="J8" s="8" t="s">
        <v>74</v>
      </c>
      <c r="K8" s="8" t="s">
        <v>75</v>
      </c>
    </row>
    <row r="9" customFormat="false" ht="57.75" hidden="false" customHeight="true" outlineLevel="0" collapsed="false">
      <c r="A9" s="8" t="s">
        <v>76</v>
      </c>
      <c r="B9" s="8" t="s">
        <v>67</v>
      </c>
      <c r="C9" s="8" t="s">
        <v>77</v>
      </c>
      <c r="D9" s="8" t="s">
        <v>78</v>
      </c>
      <c r="E9" s="8" t="s">
        <v>79</v>
      </c>
      <c r="F9" s="8" t="s">
        <v>80</v>
      </c>
      <c r="G9" s="8" t="s">
        <v>81</v>
      </c>
      <c r="H9" s="8" t="s">
        <v>82</v>
      </c>
      <c r="I9" s="8" t="s">
        <v>83</v>
      </c>
      <c r="J9" s="8" t="s">
        <v>84</v>
      </c>
      <c r="K9" s="8" t="s">
        <v>85</v>
      </c>
    </row>
    <row r="10" customFormat="false" ht="57.75" hidden="false" customHeight="true" outlineLevel="0" collapsed="false">
      <c r="A10" s="8" t="s">
        <v>86</v>
      </c>
      <c r="B10" s="8" t="s">
        <v>42</v>
      </c>
      <c r="C10" s="8" t="s">
        <v>87</v>
      </c>
      <c r="D10" s="8" t="s">
        <v>44</v>
      </c>
      <c r="E10" s="8" t="s">
        <v>88</v>
      </c>
      <c r="F10" s="8" t="s">
        <v>89</v>
      </c>
      <c r="G10" s="8" t="s">
        <v>81</v>
      </c>
      <c r="H10" s="8" t="s">
        <v>90</v>
      </c>
      <c r="I10" s="8" t="s">
        <v>91</v>
      </c>
      <c r="J10" s="8" t="s">
        <v>92</v>
      </c>
      <c r="K10" s="8" t="s">
        <v>93</v>
      </c>
    </row>
    <row r="11" customFormat="false" ht="57.75" hidden="false" customHeight="true" outlineLevel="0" collapsed="false">
      <c r="A11" s="8" t="s">
        <v>94</v>
      </c>
      <c r="B11" s="8" t="s">
        <v>95</v>
      </c>
      <c r="C11" s="8" t="s">
        <v>96</v>
      </c>
      <c r="D11" s="8" t="s">
        <v>97</v>
      </c>
      <c r="E11" s="8" t="s">
        <v>98</v>
      </c>
      <c r="F11" s="8" t="s">
        <v>99</v>
      </c>
      <c r="G11" s="8" t="s">
        <v>100</v>
      </c>
      <c r="H11" s="8" t="s">
        <v>101</v>
      </c>
      <c r="I11" s="8" t="s">
        <v>102</v>
      </c>
      <c r="J11" s="8" t="s">
        <v>103</v>
      </c>
      <c r="K11" s="8" t="s">
        <v>104</v>
      </c>
    </row>
    <row r="12" customFormat="false" ht="57.75" hidden="false" customHeight="true" outlineLevel="0" collapsed="false">
      <c r="A12" s="8" t="s">
        <v>105</v>
      </c>
      <c r="B12" s="8" t="s">
        <v>106</v>
      </c>
      <c r="C12" s="8" t="s">
        <v>107</v>
      </c>
      <c r="D12" s="8" t="s">
        <v>108</v>
      </c>
      <c r="E12" s="8" t="s">
        <v>109</v>
      </c>
      <c r="F12" s="8" t="s">
        <v>110</v>
      </c>
      <c r="G12" s="8" t="s">
        <v>111</v>
      </c>
      <c r="H12" s="8" t="s">
        <v>112</v>
      </c>
      <c r="I12" s="8" t="s">
        <v>113</v>
      </c>
      <c r="J12" s="8" t="s">
        <v>114</v>
      </c>
      <c r="K12" s="8" t="s">
        <v>115</v>
      </c>
    </row>
    <row r="13" customFormat="false" ht="57.75" hidden="false" customHeight="true" outlineLevel="0" collapsed="false">
      <c r="A13" s="8" t="s">
        <v>116</v>
      </c>
      <c r="B13" s="8" t="s">
        <v>106</v>
      </c>
      <c r="C13" s="8" t="s">
        <v>117</v>
      </c>
      <c r="D13" s="8" t="s">
        <v>118</v>
      </c>
      <c r="E13" s="8" t="s">
        <v>119</v>
      </c>
      <c r="F13" s="8" t="s">
        <v>110</v>
      </c>
      <c r="G13" s="8" t="s">
        <v>120</v>
      </c>
      <c r="H13" s="8" t="s">
        <v>121</v>
      </c>
      <c r="I13" s="8" t="s">
        <v>122</v>
      </c>
      <c r="J13" s="8" t="s">
        <v>123</v>
      </c>
      <c r="K13" s="8" t="s">
        <v>124</v>
      </c>
    </row>
    <row r="14" customFormat="false" ht="57.75" hidden="false" customHeight="true" outlineLevel="0" collapsed="false">
      <c r="A14" s="8" t="s">
        <v>125</v>
      </c>
      <c r="B14" s="8" t="s">
        <v>106</v>
      </c>
      <c r="C14" s="8" t="s">
        <v>117</v>
      </c>
      <c r="D14" s="8" t="s">
        <v>126</v>
      </c>
      <c r="E14" s="8" t="s">
        <v>127</v>
      </c>
      <c r="F14" s="8" t="s">
        <v>128</v>
      </c>
      <c r="G14" s="8" t="s">
        <v>120</v>
      </c>
      <c r="H14" s="8" t="s">
        <v>121</v>
      </c>
      <c r="I14" s="8" t="s">
        <v>122</v>
      </c>
      <c r="J14" s="8" t="s">
        <v>129</v>
      </c>
      <c r="K14" s="8" t="s">
        <v>130</v>
      </c>
    </row>
    <row r="15" customFormat="false" ht="57.75" hidden="false" customHeight="true" outlineLevel="0" collapsed="false">
      <c r="A15" s="8" t="s">
        <v>131</v>
      </c>
      <c r="B15" s="8" t="s">
        <v>132</v>
      </c>
      <c r="C15" s="8" t="s">
        <v>133</v>
      </c>
      <c r="D15" s="8" t="s">
        <v>134</v>
      </c>
      <c r="E15" s="8" t="s">
        <v>135</v>
      </c>
      <c r="F15" s="8" t="s">
        <v>136</v>
      </c>
      <c r="G15" s="8" t="s">
        <v>137</v>
      </c>
      <c r="H15" s="8" t="s">
        <v>138</v>
      </c>
      <c r="I15" s="8" t="s">
        <v>139</v>
      </c>
      <c r="J15" s="8" t="s">
        <v>140</v>
      </c>
      <c r="K15" s="8" t="s">
        <v>141</v>
      </c>
    </row>
    <row r="16" customFormat="false" ht="57.75" hidden="false" customHeight="true" outlineLevel="0" collapsed="false">
      <c r="A16" s="8" t="s">
        <v>142</v>
      </c>
      <c r="B16" s="8" t="s">
        <v>143</v>
      </c>
      <c r="C16" s="8" t="s">
        <v>144</v>
      </c>
      <c r="D16" s="8" t="s">
        <v>134</v>
      </c>
      <c r="E16" s="8" t="s">
        <v>145</v>
      </c>
      <c r="F16" s="8" t="s">
        <v>62</v>
      </c>
      <c r="G16" s="8" t="s">
        <v>146</v>
      </c>
      <c r="H16" s="8" t="s">
        <v>147</v>
      </c>
      <c r="I16" s="8" t="s">
        <v>148</v>
      </c>
      <c r="J16" s="8" t="s">
        <v>149</v>
      </c>
      <c r="K16" s="8" t="s">
        <v>150</v>
      </c>
    </row>
    <row r="17" customFormat="false" ht="57.75" hidden="false" customHeight="true" outlineLevel="0" collapsed="false">
      <c r="A17" s="8" t="s">
        <v>151</v>
      </c>
      <c r="B17" s="8" t="s">
        <v>143</v>
      </c>
      <c r="C17" s="8" t="s">
        <v>144</v>
      </c>
      <c r="D17" s="8" t="s">
        <v>134</v>
      </c>
      <c r="E17" s="8" t="s">
        <v>152</v>
      </c>
      <c r="F17" s="8" t="s">
        <v>153</v>
      </c>
      <c r="G17" s="8" t="s">
        <v>146</v>
      </c>
      <c r="H17" s="8" t="s">
        <v>154</v>
      </c>
      <c r="I17" s="8" t="s">
        <v>155</v>
      </c>
      <c r="J17" s="8" t="s">
        <v>156</v>
      </c>
      <c r="K17" s="8" t="s">
        <v>157</v>
      </c>
    </row>
    <row r="18" customFormat="false" ht="57.75" hidden="false" customHeight="true" outlineLevel="0" collapsed="false">
      <c r="A18" s="8" t="s">
        <v>158</v>
      </c>
      <c r="B18" s="8" t="s">
        <v>159</v>
      </c>
      <c r="C18" s="8" t="s">
        <v>144</v>
      </c>
      <c r="D18" s="8" t="s">
        <v>134</v>
      </c>
      <c r="E18" s="8" t="s">
        <v>160</v>
      </c>
      <c r="F18" s="8" t="s">
        <v>161</v>
      </c>
      <c r="G18" s="8" t="s">
        <v>146</v>
      </c>
      <c r="H18" s="8" t="s">
        <v>154</v>
      </c>
      <c r="I18" s="8" t="s">
        <v>162</v>
      </c>
      <c r="J18" s="8" t="s">
        <v>163</v>
      </c>
      <c r="K18" s="8" t="s">
        <v>164</v>
      </c>
    </row>
    <row r="19" customFormat="false" ht="57.75" hidden="false" customHeight="true" outlineLevel="0" collapsed="false">
      <c r="A19" s="8" t="s">
        <v>165</v>
      </c>
      <c r="B19" s="8" t="s">
        <v>166</v>
      </c>
      <c r="C19" s="8" t="s">
        <v>144</v>
      </c>
      <c r="D19" s="8" t="s">
        <v>134</v>
      </c>
      <c r="E19" s="8" t="s">
        <v>167</v>
      </c>
      <c r="F19" s="8" t="s">
        <v>168</v>
      </c>
      <c r="G19" s="8" t="s">
        <v>169</v>
      </c>
      <c r="H19" s="8" t="s">
        <v>170</v>
      </c>
      <c r="I19" s="8" t="s">
        <v>171</v>
      </c>
      <c r="J19" s="8" t="s">
        <v>172</v>
      </c>
      <c r="K19" s="8" t="s">
        <v>173</v>
      </c>
    </row>
    <row r="20" customFormat="false" ht="57.75" hidden="false" customHeight="true" outlineLevel="0" collapsed="false">
      <c r="A20" s="8" t="s">
        <v>174</v>
      </c>
      <c r="B20" s="8" t="s">
        <v>175</v>
      </c>
      <c r="C20" s="8" t="s">
        <v>144</v>
      </c>
      <c r="D20" s="8" t="s">
        <v>134</v>
      </c>
      <c r="E20" s="8" t="s">
        <v>176</v>
      </c>
      <c r="F20" s="8" t="s">
        <v>128</v>
      </c>
      <c r="G20" s="8" t="s">
        <v>146</v>
      </c>
      <c r="H20" s="8" t="s">
        <v>154</v>
      </c>
      <c r="I20" s="8" t="s">
        <v>177</v>
      </c>
      <c r="J20" s="8" t="s">
        <v>178</v>
      </c>
      <c r="K20" s="8" t="s">
        <v>179</v>
      </c>
    </row>
    <row r="21" customFormat="false" ht="57.75" hidden="false" customHeight="true" outlineLevel="0" collapsed="false">
      <c r="A21" s="8" t="s">
        <v>180</v>
      </c>
      <c r="B21" s="8" t="s">
        <v>181</v>
      </c>
      <c r="C21" s="8" t="s">
        <v>144</v>
      </c>
      <c r="D21" s="8" t="s">
        <v>134</v>
      </c>
      <c r="E21" s="8" t="s">
        <v>182</v>
      </c>
      <c r="F21" s="8" t="s">
        <v>183</v>
      </c>
      <c r="G21" s="8" t="s">
        <v>146</v>
      </c>
      <c r="H21" s="8" t="s">
        <v>154</v>
      </c>
      <c r="I21" s="8" t="s">
        <v>184</v>
      </c>
      <c r="J21" s="8" t="s">
        <v>185</v>
      </c>
      <c r="K21" s="8" t="s">
        <v>186</v>
      </c>
    </row>
    <row r="22" customFormat="false" ht="57.75" hidden="false" customHeight="true" outlineLevel="0" collapsed="false">
      <c r="A22" s="8" t="s">
        <v>187</v>
      </c>
      <c r="B22" s="8" t="s">
        <v>188</v>
      </c>
      <c r="C22" s="8" t="s">
        <v>189</v>
      </c>
      <c r="D22" s="8" t="s">
        <v>190</v>
      </c>
      <c r="E22" s="8" t="s">
        <v>191</v>
      </c>
      <c r="F22" s="8" t="s">
        <v>192</v>
      </c>
      <c r="G22" s="8" t="s">
        <v>193</v>
      </c>
      <c r="H22" s="8" t="s">
        <v>194</v>
      </c>
      <c r="I22" s="8" t="s">
        <v>195</v>
      </c>
      <c r="J22" s="8" t="s">
        <v>196</v>
      </c>
      <c r="K22" s="8" t="s">
        <v>197</v>
      </c>
    </row>
    <row r="23" customFormat="false" ht="57.75" hidden="false" customHeight="true" outlineLevel="0" collapsed="false">
      <c r="A23" s="8" t="s">
        <v>198</v>
      </c>
      <c r="B23" s="8" t="s">
        <v>199</v>
      </c>
      <c r="C23" s="8" t="s">
        <v>200</v>
      </c>
      <c r="D23" s="8" t="s">
        <v>201</v>
      </c>
      <c r="E23" s="8" t="s">
        <v>202</v>
      </c>
      <c r="F23" s="8" t="s">
        <v>203</v>
      </c>
      <c r="G23" s="8" t="s">
        <v>204</v>
      </c>
      <c r="H23" s="8" t="s">
        <v>205</v>
      </c>
      <c r="I23" s="8" t="s">
        <v>206</v>
      </c>
      <c r="J23" s="8" t="s">
        <v>207</v>
      </c>
      <c r="K23" s="8" t="s">
        <v>208</v>
      </c>
    </row>
    <row r="24" customFormat="false" ht="57.75" hidden="false" customHeight="true" outlineLevel="0" collapsed="false">
      <c r="A24" s="8" t="s">
        <v>209</v>
      </c>
      <c r="B24" s="8" t="s">
        <v>210</v>
      </c>
      <c r="C24" s="8" t="s">
        <v>211</v>
      </c>
      <c r="D24" s="8" t="s">
        <v>190</v>
      </c>
      <c r="E24" s="8" t="s">
        <v>212</v>
      </c>
      <c r="F24" s="8" t="s">
        <v>128</v>
      </c>
      <c r="G24" s="8" t="s">
        <v>213</v>
      </c>
      <c r="H24" s="8" t="s">
        <v>214</v>
      </c>
      <c r="I24" s="8" t="s">
        <v>215</v>
      </c>
      <c r="J24" s="8" t="s">
        <v>216</v>
      </c>
      <c r="K24" s="8" t="s">
        <v>217</v>
      </c>
    </row>
    <row r="25" customFormat="false" ht="57.75" hidden="false" customHeight="true" outlineLevel="0" collapsed="false">
      <c r="A25" s="8" t="s">
        <v>218</v>
      </c>
      <c r="B25" s="8" t="s">
        <v>210</v>
      </c>
      <c r="C25" s="8" t="s">
        <v>219</v>
      </c>
      <c r="D25" s="8" t="s">
        <v>44</v>
      </c>
      <c r="E25" s="8" t="s">
        <v>220</v>
      </c>
      <c r="F25" s="8" t="s">
        <v>128</v>
      </c>
      <c r="G25" s="8" t="s">
        <v>213</v>
      </c>
      <c r="H25" s="8" t="s">
        <v>221</v>
      </c>
      <c r="I25" s="8" t="s">
        <v>222</v>
      </c>
      <c r="J25" s="8" t="s">
        <v>223</v>
      </c>
      <c r="K25" s="8" t="s">
        <v>224</v>
      </c>
    </row>
    <row r="26" customFormat="false" ht="57.75" hidden="false" customHeight="true" outlineLevel="0" collapsed="false">
      <c r="A26" s="8" t="s">
        <v>225</v>
      </c>
      <c r="B26" s="8" t="s">
        <v>226</v>
      </c>
      <c r="C26" s="8" t="s">
        <v>227</v>
      </c>
      <c r="D26" s="8" t="s">
        <v>228</v>
      </c>
      <c r="E26" s="8" t="s">
        <v>229</v>
      </c>
      <c r="F26" s="8" t="s">
        <v>230</v>
      </c>
      <c r="G26" s="8" t="s">
        <v>231</v>
      </c>
      <c r="H26" s="8" t="s">
        <v>232</v>
      </c>
      <c r="I26" s="8" t="s">
        <v>233</v>
      </c>
      <c r="J26" s="8" t="s">
        <v>234</v>
      </c>
      <c r="K26" s="8" t="s">
        <v>235</v>
      </c>
    </row>
    <row r="27" customFormat="false" ht="57.75" hidden="false" customHeight="true" outlineLevel="0" collapsed="false">
      <c r="A27" s="8" t="s">
        <v>236</v>
      </c>
      <c r="B27" s="8" t="s">
        <v>226</v>
      </c>
      <c r="C27" s="8" t="s">
        <v>237</v>
      </c>
      <c r="D27" s="8" t="s">
        <v>238</v>
      </c>
      <c r="E27" s="8" t="s">
        <v>239</v>
      </c>
      <c r="F27" s="8" t="s">
        <v>240</v>
      </c>
      <c r="G27" s="8" t="s">
        <v>241</v>
      </c>
      <c r="H27" s="8" t="s">
        <v>242</v>
      </c>
      <c r="I27" s="8" t="s">
        <v>243</v>
      </c>
      <c r="J27" s="8" t="s">
        <v>244</v>
      </c>
      <c r="K27" s="8" t="s">
        <v>245</v>
      </c>
    </row>
    <row r="28" customFormat="false" ht="57.75" hidden="false" customHeight="true" outlineLevel="0" collapsed="false">
      <c r="A28" s="8" t="s">
        <v>246</v>
      </c>
      <c r="B28" s="8" t="s">
        <v>247</v>
      </c>
      <c r="C28" s="8" t="s">
        <v>248</v>
      </c>
      <c r="D28" s="8" t="s">
        <v>44</v>
      </c>
      <c r="E28" s="8" t="s">
        <v>249</v>
      </c>
      <c r="F28" s="8" t="s">
        <v>250</v>
      </c>
      <c r="G28" s="8" t="s">
        <v>251</v>
      </c>
      <c r="H28" s="8" t="s">
        <v>252</v>
      </c>
      <c r="I28" s="8" t="s">
        <v>253</v>
      </c>
      <c r="J28" s="8" t="s">
        <v>254</v>
      </c>
      <c r="K28" s="8" t="s">
        <v>255</v>
      </c>
    </row>
    <row r="29" customFormat="false" ht="57.75" hidden="false" customHeight="true" outlineLevel="0" collapsed="false">
      <c r="A29" s="8" t="s">
        <v>256</v>
      </c>
      <c r="B29" s="8" t="s">
        <v>226</v>
      </c>
      <c r="C29" s="8" t="s">
        <v>257</v>
      </c>
      <c r="D29" s="8" t="s">
        <v>44</v>
      </c>
      <c r="E29" s="8" t="s">
        <v>258</v>
      </c>
      <c r="F29" s="8" t="s">
        <v>259</v>
      </c>
      <c r="G29" s="8" t="s">
        <v>120</v>
      </c>
      <c r="H29" s="8" t="s">
        <v>260</v>
      </c>
      <c r="I29" s="8" t="s">
        <v>261</v>
      </c>
      <c r="J29" s="8" t="s">
        <v>262</v>
      </c>
      <c r="K29" s="8" t="s">
        <v>263</v>
      </c>
    </row>
    <row r="30" customFormat="false" ht="57.75" hidden="false" customHeight="true" outlineLevel="0" collapsed="false">
      <c r="A30" s="8" t="s">
        <v>264</v>
      </c>
      <c r="B30" s="8" t="s">
        <v>265</v>
      </c>
      <c r="C30" s="8" t="s">
        <v>266</v>
      </c>
      <c r="D30" s="8" t="s">
        <v>44</v>
      </c>
      <c r="E30" s="8" t="s">
        <v>267</v>
      </c>
      <c r="F30" s="8" t="s">
        <v>128</v>
      </c>
      <c r="G30" s="8" t="s">
        <v>120</v>
      </c>
      <c r="H30" s="8" t="s">
        <v>268</v>
      </c>
      <c r="I30" s="8" t="s">
        <v>269</v>
      </c>
      <c r="J30" s="8" t="s">
        <v>270</v>
      </c>
      <c r="K30" s="8" t="s">
        <v>271</v>
      </c>
    </row>
    <row r="31" customFormat="false" ht="57.75" hidden="false" customHeight="true" outlineLevel="0" collapsed="false">
      <c r="A31" s="8" t="s">
        <v>272</v>
      </c>
      <c r="B31" s="8" t="s">
        <v>273</v>
      </c>
      <c r="C31" s="8" t="s">
        <v>274</v>
      </c>
      <c r="D31" s="8" t="s">
        <v>275</v>
      </c>
      <c r="E31" s="8" t="s">
        <v>276</v>
      </c>
      <c r="F31" s="8" t="s">
        <v>277</v>
      </c>
      <c r="G31" s="8" t="s">
        <v>278</v>
      </c>
      <c r="H31" s="8" t="s">
        <v>279</v>
      </c>
      <c r="I31" s="8" t="s">
        <v>280</v>
      </c>
      <c r="J31" s="8" t="s">
        <v>281</v>
      </c>
      <c r="K31" s="8" t="s">
        <v>282</v>
      </c>
    </row>
    <row r="32" customFormat="false" ht="57.75" hidden="false" customHeight="true" outlineLevel="0" collapsed="false">
      <c r="A32" s="8" t="s">
        <v>283</v>
      </c>
      <c r="B32" s="8" t="s">
        <v>284</v>
      </c>
      <c r="C32" s="8" t="s">
        <v>283</v>
      </c>
      <c r="D32" s="8" t="s">
        <v>44</v>
      </c>
      <c r="E32" s="8" t="s">
        <v>285</v>
      </c>
      <c r="F32" s="8" t="s">
        <v>286</v>
      </c>
      <c r="G32" s="8" t="s">
        <v>287</v>
      </c>
      <c r="H32" s="8" t="s">
        <v>288</v>
      </c>
      <c r="I32" s="8" t="s">
        <v>289</v>
      </c>
      <c r="J32" s="8" t="s">
        <v>290</v>
      </c>
      <c r="K32" s="8" t="s">
        <v>291</v>
      </c>
    </row>
    <row r="33" customFormat="false" ht="57.75" hidden="false" customHeight="true" outlineLevel="0" collapsed="false">
      <c r="A33" s="8" t="s">
        <v>292</v>
      </c>
      <c r="B33" s="8" t="s">
        <v>284</v>
      </c>
      <c r="C33" s="8" t="s">
        <v>293</v>
      </c>
      <c r="D33" s="8" t="s">
        <v>294</v>
      </c>
      <c r="E33" s="8" t="s">
        <v>295</v>
      </c>
      <c r="F33" s="8" t="s">
        <v>286</v>
      </c>
      <c r="G33" s="8" t="s">
        <v>296</v>
      </c>
      <c r="H33" s="8" t="s">
        <v>297</v>
      </c>
      <c r="I33" s="8" t="s">
        <v>298</v>
      </c>
      <c r="J33" s="8" t="s">
        <v>299</v>
      </c>
      <c r="K33" s="8" t="s">
        <v>300</v>
      </c>
    </row>
    <row r="34" customFormat="false" ht="57.75" hidden="false" customHeight="true" outlineLevel="0" collapsed="false">
      <c r="A34" s="8" t="s">
        <v>301</v>
      </c>
      <c r="B34" s="8" t="s">
        <v>302</v>
      </c>
      <c r="C34" s="8" t="s">
        <v>303</v>
      </c>
      <c r="D34" s="8" t="s">
        <v>304</v>
      </c>
      <c r="E34" s="8" t="s">
        <v>305</v>
      </c>
      <c r="F34" s="8" t="s">
        <v>306</v>
      </c>
      <c r="G34" s="8" t="s">
        <v>120</v>
      </c>
      <c r="H34" s="8" t="s">
        <v>307</v>
      </c>
      <c r="I34" s="8" t="s">
        <v>308</v>
      </c>
      <c r="J34" s="8" t="s">
        <v>309</v>
      </c>
      <c r="K34" s="8" t="s">
        <v>310</v>
      </c>
    </row>
    <row r="35" customFormat="false" ht="57.75" hidden="false" customHeight="true" outlineLevel="0" collapsed="false">
      <c r="A35" s="8" t="s">
        <v>311</v>
      </c>
      <c r="B35" s="8" t="s">
        <v>312</v>
      </c>
      <c r="C35" s="8" t="s">
        <v>313</v>
      </c>
      <c r="D35" s="8" t="s">
        <v>44</v>
      </c>
      <c r="E35" s="8" t="s">
        <v>314</v>
      </c>
      <c r="F35" s="8" t="s">
        <v>315</v>
      </c>
      <c r="G35" s="8" t="s">
        <v>111</v>
      </c>
      <c r="H35" s="8" t="s">
        <v>316</v>
      </c>
      <c r="I35" s="8" t="s">
        <v>317</v>
      </c>
      <c r="J35" s="8" t="s">
        <v>318</v>
      </c>
      <c r="K35" s="8" t="s">
        <v>319</v>
      </c>
    </row>
    <row r="36" customFormat="false" ht="57.75" hidden="false" customHeight="true" outlineLevel="0" collapsed="false">
      <c r="A36" s="8" t="s">
        <v>320</v>
      </c>
      <c r="B36" s="8" t="s">
        <v>321</v>
      </c>
      <c r="C36" s="8" t="s">
        <v>322</v>
      </c>
      <c r="D36" s="8" t="s">
        <v>44</v>
      </c>
      <c r="E36" s="8" t="s">
        <v>323</v>
      </c>
      <c r="F36" s="8" t="s">
        <v>324</v>
      </c>
      <c r="G36" s="8" t="s">
        <v>111</v>
      </c>
      <c r="H36" s="8" t="s">
        <v>325</v>
      </c>
      <c r="I36" s="8" t="s">
        <v>326</v>
      </c>
      <c r="J36" s="8" t="s">
        <v>327</v>
      </c>
      <c r="K36" s="8" t="s">
        <v>328</v>
      </c>
    </row>
    <row r="37" customFormat="false" ht="57.75" hidden="false" customHeight="true" outlineLevel="0" collapsed="false">
      <c r="A37" s="8" t="s">
        <v>329</v>
      </c>
      <c r="B37" s="8" t="s">
        <v>330</v>
      </c>
      <c r="C37" s="8" t="s">
        <v>331</v>
      </c>
      <c r="D37" s="8" t="s">
        <v>44</v>
      </c>
      <c r="E37" s="8" t="s">
        <v>332</v>
      </c>
      <c r="F37" s="8" t="s">
        <v>333</v>
      </c>
      <c r="G37" s="8" t="s">
        <v>334</v>
      </c>
      <c r="H37" s="8" t="s">
        <v>335</v>
      </c>
      <c r="I37" s="8" t="s">
        <v>336</v>
      </c>
      <c r="J37" s="8" t="s">
        <v>337</v>
      </c>
      <c r="K37" s="8" t="s">
        <v>338</v>
      </c>
    </row>
    <row r="38" customFormat="false" ht="57.75" hidden="false" customHeight="true" outlineLevel="0" collapsed="false">
      <c r="A38" s="8" t="s">
        <v>339</v>
      </c>
      <c r="B38" s="8" t="s">
        <v>226</v>
      </c>
      <c r="C38" s="8" t="s">
        <v>340</v>
      </c>
      <c r="D38" s="8" t="s">
        <v>341</v>
      </c>
      <c r="E38" s="8" t="s">
        <v>342</v>
      </c>
      <c r="F38" s="8" t="s">
        <v>343</v>
      </c>
      <c r="G38" s="8" t="s">
        <v>81</v>
      </c>
      <c r="H38" s="8" t="s">
        <v>344</v>
      </c>
      <c r="I38" s="8" t="s">
        <v>345</v>
      </c>
      <c r="J38" s="8" t="s">
        <v>346</v>
      </c>
      <c r="K38" s="8" t="s">
        <v>347</v>
      </c>
    </row>
    <row r="39" customFormat="false" ht="57.75" hidden="false" customHeight="true" outlineLevel="0" collapsed="false">
      <c r="A39" s="8" t="s">
        <v>348</v>
      </c>
      <c r="B39" s="8" t="s">
        <v>143</v>
      </c>
      <c r="C39" s="8" t="s">
        <v>349</v>
      </c>
      <c r="D39" s="8" t="s">
        <v>350</v>
      </c>
      <c r="E39" s="8" t="s">
        <v>351</v>
      </c>
      <c r="F39" s="8" t="s">
        <v>352</v>
      </c>
      <c r="G39" s="8" t="s">
        <v>146</v>
      </c>
      <c r="H39" s="8" t="s">
        <v>353</v>
      </c>
      <c r="I39" s="8" t="s">
        <v>354</v>
      </c>
      <c r="J39" s="8" t="s">
        <v>355</v>
      </c>
      <c r="K39" s="8" t="s">
        <v>356</v>
      </c>
    </row>
    <row r="40" customFormat="false" ht="57.75" hidden="false" customHeight="true" outlineLevel="0" collapsed="false">
      <c r="A40" s="8" t="s">
        <v>357</v>
      </c>
      <c r="B40" s="8" t="s">
        <v>143</v>
      </c>
      <c r="C40" s="8" t="s">
        <v>358</v>
      </c>
      <c r="D40" s="8" t="s">
        <v>359</v>
      </c>
      <c r="E40" s="8" t="s">
        <v>360</v>
      </c>
      <c r="F40" s="8" t="s">
        <v>352</v>
      </c>
      <c r="G40" s="8" t="s">
        <v>146</v>
      </c>
      <c r="H40" s="8" t="s">
        <v>361</v>
      </c>
      <c r="I40" s="8" t="s">
        <v>362</v>
      </c>
      <c r="J40" s="8" t="s">
        <v>363</v>
      </c>
      <c r="K40" s="8" t="s">
        <v>364</v>
      </c>
    </row>
    <row r="41" customFormat="false" ht="57.75" hidden="false" customHeight="true" outlineLevel="0" collapsed="false">
      <c r="A41" s="8" t="s">
        <v>365</v>
      </c>
      <c r="B41" s="8" t="s">
        <v>143</v>
      </c>
      <c r="C41" s="8" t="s">
        <v>366</v>
      </c>
      <c r="D41" s="8" t="s">
        <v>367</v>
      </c>
      <c r="E41" s="8" t="s">
        <v>368</v>
      </c>
      <c r="F41" s="8" t="s">
        <v>352</v>
      </c>
      <c r="G41" s="8" t="s">
        <v>369</v>
      </c>
      <c r="H41" s="8" t="s">
        <v>370</v>
      </c>
      <c r="I41" s="8" t="s">
        <v>371</v>
      </c>
      <c r="J41" s="8" t="s">
        <v>372</v>
      </c>
      <c r="K41" s="8" t="s">
        <v>373</v>
      </c>
    </row>
    <row r="42" customFormat="false" ht="57.75" hidden="false" customHeight="true" outlineLevel="0" collapsed="false">
      <c r="A42" s="8" t="s">
        <v>374</v>
      </c>
      <c r="B42" s="8" t="s">
        <v>143</v>
      </c>
      <c r="C42" s="8" t="s">
        <v>375</v>
      </c>
      <c r="D42" s="8" t="s">
        <v>376</v>
      </c>
      <c r="E42" s="8" t="s">
        <v>377</v>
      </c>
      <c r="F42" s="8" t="s">
        <v>352</v>
      </c>
      <c r="G42" s="8" t="s">
        <v>378</v>
      </c>
      <c r="H42" s="8" t="s">
        <v>379</v>
      </c>
      <c r="I42" s="8" t="s">
        <v>380</v>
      </c>
      <c r="J42" s="8" t="s">
        <v>381</v>
      </c>
      <c r="K42" s="8" t="s">
        <v>382</v>
      </c>
    </row>
    <row r="43" customFormat="false" ht="57.75" hidden="false" customHeight="true" outlineLevel="0" collapsed="false">
      <c r="A43" s="8" t="s">
        <v>383</v>
      </c>
      <c r="B43" s="8" t="s">
        <v>143</v>
      </c>
      <c r="C43" s="8" t="s">
        <v>384</v>
      </c>
      <c r="D43" s="8" t="s">
        <v>385</v>
      </c>
      <c r="E43" s="8" t="s">
        <v>386</v>
      </c>
      <c r="F43" s="8" t="s">
        <v>387</v>
      </c>
      <c r="G43" s="8" t="s">
        <v>378</v>
      </c>
      <c r="H43" s="8" t="s">
        <v>388</v>
      </c>
      <c r="I43" s="8" t="s">
        <v>389</v>
      </c>
      <c r="J43" s="8" t="s">
        <v>390</v>
      </c>
      <c r="K43" s="8" t="s">
        <v>391</v>
      </c>
    </row>
    <row r="44" customFormat="false" ht="57.75" hidden="false" customHeight="true" outlineLevel="0" collapsed="false">
      <c r="A44" s="8" t="s">
        <v>392</v>
      </c>
      <c r="B44" s="8" t="s">
        <v>393</v>
      </c>
      <c r="C44" s="8" t="s">
        <v>394</v>
      </c>
      <c r="D44" s="8" t="s">
        <v>395</v>
      </c>
      <c r="E44" s="8" t="s">
        <v>396</v>
      </c>
      <c r="F44" s="8" t="s">
        <v>286</v>
      </c>
      <c r="G44" s="8" t="s">
        <v>378</v>
      </c>
      <c r="H44" s="8" t="s">
        <v>252</v>
      </c>
      <c r="I44" s="8" t="s">
        <v>397</v>
      </c>
      <c r="J44" s="8" t="s">
        <v>398</v>
      </c>
      <c r="K44" s="8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18"/>
    <col collapsed="false" customWidth="true" hidden="false" outlineLevel="0" max="7" min="7" style="0" width="62"/>
  </cols>
  <sheetData>
    <row r="1" customFormat="false" ht="17.35" hidden="false" customHeight="false" outlineLevel="0" collapsed="false">
      <c r="A1" s="5" t="s">
        <v>400</v>
      </c>
    </row>
    <row r="2" customFormat="false" ht="15" hidden="false" customHeight="false" outlineLevel="0" collapsed="false">
      <c r="A2" s="6" t="s">
        <v>401</v>
      </c>
    </row>
    <row r="4" customFormat="false" ht="15" hidden="false" customHeight="false" outlineLevel="0" collapsed="false">
      <c r="A4" s="7" t="s">
        <v>402</v>
      </c>
      <c r="B4" s="7" t="s">
        <v>403</v>
      </c>
      <c r="C4" s="7" t="s">
        <v>404</v>
      </c>
      <c r="D4" s="7" t="s">
        <v>36</v>
      </c>
      <c r="E4" s="7" t="s">
        <v>405</v>
      </c>
      <c r="F4" s="7" t="s">
        <v>406</v>
      </c>
      <c r="G4" s="7" t="s">
        <v>407</v>
      </c>
    </row>
    <row r="5" customFormat="false" ht="45.75" hidden="false" customHeight="true" outlineLevel="0" collapsed="false">
      <c r="A5" s="8" t="s">
        <v>408</v>
      </c>
      <c r="B5" s="8" t="s">
        <v>409</v>
      </c>
      <c r="C5" s="8" t="s">
        <v>410</v>
      </c>
      <c r="D5" s="8" t="s">
        <v>411</v>
      </c>
      <c r="E5" s="8" t="s">
        <v>412</v>
      </c>
      <c r="F5" s="8" t="s">
        <v>181</v>
      </c>
      <c r="G5" s="8" t="s">
        <v>413</v>
      </c>
    </row>
    <row r="6" customFormat="false" ht="45.75" hidden="false" customHeight="true" outlineLevel="0" collapsed="false">
      <c r="A6" s="8" t="s">
        <v>414</v>
      </c>
      <c r="B6" s="8" t="s">
        <v>415</v>
      </c>
      <c r="C6" s="8" t="s">
        <v>416</v>
      </c>
      <c r="D6" s="8" t="s">
        <v>417</v>
      </c>
      <c r="E6" s="8" t="s">
        <v>418</v>
      </c>
      <c r="F6" s="8" t="s">
        <v>181</v>
      </c>
      <c r="G6" s="8" t="s">
        <v>419</v>
      </c>
    </row>
    <row r="7" customFormat="false" ht="45.75" hidden="false" customHeight="true" outlineLevel="0" collapsed="false">
      <c r="A7" s="8" t="s">
        <v>420</v>
      </c>
      <c r="B7" s="8" t="s">
        <v>421</v>
      </c>
      <c r="C7" s="8" t="s">
        <v>422</v>
      </c>
      <c r="D7" s="8" t="s">
        <v>423</v>
      </c>
      <c r="E7" s="8" t="s">
        <v>424</v>
      </c>
      <c r="F7" s="8" t="s">
        <v>181</v>
      </c>
      <c r="G7" s="8" t="s">
        <v>425</v>
      </c>
    </row>
    <row r="8" customFormat="false" ht="45.75" hidden="false" customHeight="true" outlineLevel="0" collapsed="false">
      <c r="A8" s="8" t="s">
        <v>426</v>
      </c>
      <c r="B8" s="8" t="s">
        <v>421</v>
      </c>
      <c r="C8" s="8" t="s">
        <v>427</v>
      </c>
      <c r="D8" s="8" t="s">
        <v>411</v>
      </c>
      <c r="E8" s="8" t="s">
        <v>418</v>
      </c>
      <c r="F8" s="8" t="s">
        <v>181</v>
      </c>
      <c r="G8" s="8" t="s">
        <v>425</v>
      </c>
    </row>
    <row r="9" customFormat="false" ht="45.75" hidden="false" customHeight="true" outlineLevel="0" collapsed="false">
      <c r="A9" s="8" t="s">
        <v>428</v>
      </c>
      <c r="B9" s="8" t="s">
        <v>421</v>
      </c>
      <c r="C9" s="8" t="s">
        <v>429</v>
      </c>
      <c r="D9" s="8" t="s">
        <v>430</v>
      </c>
      <c r="E9" s="8" t="s">
        <v>431</v>
      </c>
      <c r="F9" s="8" t="s">
        <v>181</v>
      </c>
      <c r="G9" s="8" t="s">
        <v>432</v>
      </c>
    </row>
    <row r="10" customFormat="false" ht="45.75" hidden="false" customHeight="true" outlineLevel="0" collapsed="false">
      <c r="A10" s="8" t="s">
        <v>433</v>
      </c>
      <c r="B10" s="8" t="s">
        <v>434</v>
      </c>
      <c r="C10" s="8" t="s">
        <v>435</v>
      </c>
      <c r="D10" s="8" t="s">
        <v>436</v>
      </c>
      <c r="E10" s="8" t="s">
        <v>437</v>
      </c>
      <c r="F10" s="8" t="s">
        <v>181</v>
      </c>
      <c r="G10" s="8" t="s">
        <v>215</v>
      </c>
    </row>
    <row r="11" customFormat="false" ht="45.75" hidden="false" customHeight="true" outlineLevel="0" collapsed="false">
      <c r="A11" s="8" t="s">
        <v>438</v>
      </c>
      <c r="B11" s="8" t="s">
        <v>421</v>
      </c>
      <c r="C11" s="8" t="s">
        <v>439</v>
      </c>
      <c r="D11" s="8" t="s">
        <v>436</v>
      </c>
      <c r="E11" s="8" t="s">
        <v>440</v>
      </c>
      <c r="F11" s="8" t="s">
        <v>181</v>
      </c>
      <c r="G11" s="8" t="s">
        <v>441</v>
      </c>
    </row>
    <row r="12" customFormat="false" ht="45.75" hidden="false" customHeight="true" outlineLevel="0" collapsed="false">
      <c r="A12" s="8" t="s">
        <v>442</v>
      </c>
      <c r="B12" s="8" t="s">
        <v>443</v>
      </c>
      <c r="C12" s="8" t="s">
        <v>444</v>
      </c>
      <c r="D12" s="8" t="s">
        <v>436</v>
      </c>
      <c r="E12" s="8" t="s">
        <v>445</v>
      </c>
      <c r="F12" s="8" t="s">
        <v>181</v>
      </c>
      <c r="G12" s="8" t="s">
        <v>446</v>
      </c>
    </row>
    <row r="13" customFormat="false" ht="45.75" hidden="false" customHeight="true" outlineLevel="0" collapsed="false">
      <c r="A13" s="8" t="s">
        <v>447</v>
      </c>
      <c r="B13" s="8" t="s">
        <v>434</v>
      </c>
      <c r="C13" s="8" t="s">
        <v>448</v>
      </c>
      <c r="D13" s="8" t="s">
        <v>436</v>
      </c>
      <c r="E13" s="8" t="s">
        <v>449</v>
      </c>
      <c r="F13" s="8" t="s">
        <v>181</v>
      </c>
      <c r="G13" s="8" t="s">
        <v>450</v>
      </c>
    </row>
    <row r="14" customFormat="false" ht="45.75" hidden="false" customHeight="true" outlineLevel="0" collapsed="false">
      <c r="A14" s="8" t="s">
        <v>451</v>
      </c>
      <c r="B14" s="8" t="s">
        <v>443</v>
      </c>
      <c r="C14" s="8" t="s">
        <v>452</v>
      </c>
      <c r="D14" s="8" t="s">
        <v>453</v>
      </c>
      <c r="E14" s="8" t="s">
        <v>454</v>
      </c>
      <c r="F14" s="8" t="s">
        <v>181</v>
      </c>
      <c r="G14" s="8" t="s">
        <v>215</v>
      </c>
    </row>
    <row r="15" customFormat="false" ht="45.75" hidden="false" customHeight="true" outlineLevel="0" collapsed="false">
      <c r="A15" s="8" t="s">
        <v>455</v>
      </c>
      <c r="B15" s="8" t="s">
        <v>443</v>
      </c>
      <c r="C15" s="8" t="s">
        <v>456</v>
      </c>
      <c r="D15" s="8" t="s">
        <v>457</v>
      </c>
      <c r="E15" s="8" t="s">
        <v>458</v>
      </c>
      <c r="F15" s="8" t="s">
        <v>181</v>
      </c>
      <c r="G15" s="8" t="s">
        <v>215</v>
      </c>
    </row>
    <row r="16" customFormat="false" ht="45.75" hidden="false" customHeight="true" outlineLevel="0" collapsed="false">
      <c r="A16" s="8" t="s">
        <v>459</v>
      </c>
      <c r="B16" s="8" t="s">
        <v>443</v>
      </c>
      <c r="C16" s="8" t="s">
        <v>460</v>
      </c>
      <c r="D16" s="8" t="s">
        <v>461</v>
      </c>
      <c r="E16" s="8" t="s">
        <v>458</v>
      </c>
      <c r="F16" s="8" t="s">
        <v>181</v>
      </c>
      <c r="G16" s="8" t="s">
        <v>462</v>
      </c>
    </row>
    <row r="17" customFormat="false" ht="45.75" hidden="false" customHeight="true" outlineLevel="0" collapsed="false">
      <c r="A17" s="8" t="s">
        <v>463</v>
      </c>
      <c r="B17" s="8" t="s">
        <v>443</v>
      </c>
      <c r="C17" s="8" t="s">
        <v>464</v>
      </c>
      <c r="D17" s="8" t="s">
        <v>461</v>
      </c>
      <c r="E17" s="8" t="s">
        <v>458</v>
      </c>
      <c r="F17" s="8" t="s">
        <v>181</v>
      </c>
      <c r="G17" s="8" t="s">
        <v>215</v>
      </c>
    </row>
    <row r="18" customFormat="false" ht="45.75" hidden="false" customHeight="true" outlineLevel="0" collapsed="false">
      <c r="A18" s="8" t="s">
        <v>465</v>
      </c>
      <c r="B18" s="8" t="s">
        <v>466</v>
      </c>
      <c r="C18" s="8" t="s">
        <v>467</v>
      </c>
      <c r="D18" s="8" t="s">
        <v>461</v>
      </c>
      <c r="E18" s="8" t="s">
        <v>458</v>
      </c>
      <c r="F18" s="8" t="s">
        <v>181</v>
      </c>
      <c r="G18" s="8" t="s">
        <v>215</v>
      </c>
    </row>
    <row r="19" customFormat="false" ht="45.75" hidden="false" customHeight="true" outlineLevel="0" collapsed="false">
      <c r="A19" s="8" t="s">
        <v>468</v>
      </c>
      <c r="B19" s="8" t="s">
        <v>466</v>
      </c>
      <c r="C19" s="8" t="s">
        <v>469</v>
      </c>
      <c r="D19" s="8" t="s">
        <v>430</v>
      </c>
      <c r="E19" s="8" t="s">
        <v>470</v>
      </c>
      <c r="F19" s="8" t="s">
        <v>181</v>
      </c>
      <c r="G19" s="8" t="s">
        <v>471</v>
      </c>
    </row>
    <row r="20" customFormat="false" ht="45.75" hidden="false" customHeight="true" outlineLevel="0" collapsed="false">
      <c r="A20" s="8" t="s">
        <v>472</v>
      </c>
      <c r="B20" s="8" t="s">
        <v>466</v>
      </c>
      <c r="C20" s="8" t="s">
        <v>473</v>
      </c>
      <c r="D20" s="8" t="s">
        <v>430</v>
      </c>
      <c r="E20" s="8" t="s">
        <v>474</v>
      </c>
      <c r="F20" s="8" t="s">
        <v>181</v>
      </c>
      <c r="G20" s="8" t="s">
        <v>475</v>
      </c>
    </row>
    <row r="21" customFormat="false" ht="45.75" hidden="false" customHeight="true" outlineLevel="0" collapsed="false">
      <c r="A21" s="8" t="s">
        <v>476</v>
      </c>
      <c r="B21" s="8" t="s">
        <v>477</v>
      </c>
      <c r="C21" s="8" t="s">
        <v>478</v>
      </c>
      <c r="D21" s="8" t="s">
        <v>479</v>
      </c>
      <c r="E21" s="8" t="s">
        <v>480</v>
      </c>
      <c r="F21" s="8" t="s">
        <v>181</v>
      </c>
      <c r="G21" s="8" t="s">
        <v>481</v>
      </c>
    </row>
    <row r="22" customFormat="false" ht="45.75" hidden="false" customHeight="true" outlineLevel="0" collapsed="false">
      <c r="A22" s="8" t="s">
        <v>482</v>
      </c>
      <c r="B22" s="8" t="s">
        <v>477</v>
      </c>
      <c r="C22" s="8" t="s">
        <v>483</v>
      </c>
      <c r="D22" s="8" t="s">
        <v>436</v>
      </c>
      <c r="E22" s="8" t="s">
        <v>484</v>
      </c>
      <c r="F22" s="8" t="s">
        <v>181</v>
      </c>
      <c r="G22" s="8" t="s">
        <v>485</v>
      </c>
    </row>
    <row r="23" customFormat="false" ht="45.75" hidden="false" customHeight="true" outlineLevel="0" collapsed="false">
      <c r="A23" s="8" t="s">
        <v>486</v>
      </c>
      <c r="B23" s="8" t="s">
        <v>477</v>
      </c>
      <c r="C23" s="8" t="s">
        <v>487</v>
      </c>
      <c r="D23" s="8" t="s">
        <v>479</v>
      </c>
      <c r="E23" s="8" t="s">
        <v>488</v>
      </c>
      <c r="F23" s="8" t="s">
        <v>181</v>
      </c>
      <c r="G23" s="8" t="s">
        <v>489</v>
      </c>
    </row>
    <row r="24" customFormat="false" ht="45.75" hidden="false" customHeight="true" outlineLevel="0" collapsed="false">
      <c r="A24" s="8" t="s">
        <v>490</v>
      </c>
      <c r="B24" s="8" t="s">
        <v>477</v>
      </c>
      <c r="C24" s="8" t="s">
        <v>491</v>
      </c>
      <c r="D24" s="8" t="s">
        <v>479</v>
      </c>
      <c r="E24" s="8" t="s">
        <v>492</v>
      </c>
      <c r="F24" s="8" t="s">
        <v>181</v>
      </c>
      <c r="G24" s="8" t="s">
        <v>493</v>
      </c>
    </row>
    <row r="25" customFormat="false" ht="45.75" hidden="false" customHeight="true" outlineLevel="0" collapsed="false">
      <c r="A25" s="8" t="s">
        <v>494</v>
      </c>
      <c r="B25" s="8" t="s">
        <v>443</v>
      </c>
      <c r="C25" s="8" t="s">
        <v>495</v>
      </c>
      <c r="D25" s="8" t="s">
        <v>436</v>
      </c>
      <c r="E25" s="8" t="s">
        <v>496</v>
      </c>
      <c r="F25" s="8" t="s">
        <v>181</v>
      </c>
      <c r="G25" s="8" t="s">
        <v>215</v>
      </c>
    </row>
    <row r="26" customFormat="false" ht="45.75" hidden="false" customHeight="true" outlineLevel="0" collapsed="false">
      <c r="A26" s="8" t="s">
        <v>497</v>
      </c>
      <c r="B26" s="8" t="s">
        <v>498</v>
      </c>
      <c r="C26" s="8" t="s">
        <v>499</v>
      </c>
      <c r="D26" s="8" t="s">
        <v>430</v>
      </c>
      <c r="E26" s="8" t="s">
        <v>500</v>
      </c>
      <c r="F26" s="8" t="s">
        <v>181</v>
      </c>
      <c r="G26" s="8" t="s">
        <v>215</v>
      </c>
    </row>
    <row r="27" customFormat="false" ht="45.75" hidden="false" customHeight="true" outlineLevel="0" collapsed="false">
      <c r="A27" s="8" t="s">
        <v>501</v>
      </c>
      <c r="B27" s="8" t="s">
        <v>498</v>
      </c>
      <c r="C27" s="8" t="s">
        <v>502</v>
      </c>
      <c r="D27" s="8" t="s">
        <v>503</v>
      </c>
      <c r="E27" s="8" t="s">
        <v>418</v>
      </c>
      <c r="F27" s="8" t="s">
        <v>181</v>
      </c>
      <c r="G27" s="8" t="s">
        <v>215</v>
      </c>
    </row>
    <row r="28" customFormat="false" ht="45.75" hidden="false" customHeight="true" outlineLevel="0" collapsed="false">
      <c r="A28" s="8" t="s">
        <v>504</v>
      </c>
      <c r="B28" s="8" t="s">
        <v>498</v>
      </c>
      <c r="C28" s="8" t="s">
        <v>505</v>
      </c>
      <c r="D28" s="8" t="s">
        <v>430</v>
      </c>
      <c r="E28" s="8" t="s">
        <v>418</v>
      </c>
      <c r="F28" s="8" t="s">
        <v>181</v>
      </c>
      <c r="G28" s="8" t="s">
        <v>506</v>
      </c>
    </row>
    <row r="29" customFormat="false" ht="45.75" hidden="false" customHeight="true" outlineLevel="0" collapsed="false">
      <c r="A29" s="8" t="s">
        <v>507</v>
      </c>
      <c r="B29" s="8" t="s">
        <v>508</v>
      </c>
      <c r="C29" s="8" t="s">
        <v>509</v>
      </c>
      <c r="D29" s="8" t="s">
        <v>479</v>
      </c>
      <c r="E29" s="8" t="s">
        <v>418</v>
      </c>
      <c r="F29" s="8" t="s">
        <v>181</v>
      </c>
      <c r="G29" s="8" t="s">
        <v>510</v>
      </c>
    </row>
    <row r="30" customFormat="false" ht="45.75" hidden="false" customHeight="true" outlineLevel="0" collapsed="false">
      <c r="A30" s="8" t="s">
        <v>511</v>
      </c>
      <c r="B30" s="8" t="s">
        <v>508</v>
      </c>
      <c r="C30" s="8" t="s">
        <v>512</v>
      </c>
      <c r="D30" s="8" t="s">
        <v>513</v>
      </c>
      <c r="E30" s="8" t="s">
        <v>514</v>
      </c>
      <c r="F30" s="8" t="s">
        <v>181</v>
      </c>
      <c r="G30" s="8" t="s">
        <v>515</v>
      </c>
    </row>
    <row r="31" customFormat="false" ht="45.75" hidden="false" customHeight="true" outlineLevel="0" collapsed="false">
      <c r="A31" s="8" t="s">
        <v>516</v>
      </c>
      <c r="B31" s="8" t="s">
        <v>517</v>
      </c>
      <c r="C31" s="8" t="s">
        <v>518</v>
      </c>
      <c r="D31" s="8" t="s">
        <v>461</v>
      </c>
      <c r="E31" s="8" t="s">
        <v>519</v>
      </c>
      <c r="F31" s="8" t="s">
        <v>181</v>
      </c>
      <c r="G31" s="8" t="s">
        <v>520</v>
      </c>
    </row>
    <row r="32" customFormat="false" ht="45.75" hidden="false" customHeight="true" outlineLevel="0" collapsed="false">
      <c r="A32" s="8" t="s">
        <v>521</v>
      </c>
      <c r="B32" s="8" t="s">
        <v>517</v>
      </c>
      <c r="C32" s="8" t="s">
        <v>522</v>
      </c>
      <c r="D32" s="8" t="s">
        <v>430</v>
      </c>
      <c r="E32" s="8" t="s">
        <v>523</v>
      </c>
      <c r="F32" s="8" t="s">
        <v>181</v>
      </c>
      <c r="G32" s="8" t="s">
        <v>215</v>
      </c>
    </row>
    <row r="33" customFormat="false" ht="45.75" hidden="false" customHeight="true" outlineLevel="0" collapsed="false">
      <c r="A33" s="8" t="s">
        <v>524</v>
      </c>
      <c r="B33" s="8" t="s">
        <v>525</v>
      </c>
      <c r="C33" s="8" t="s">
        <v>526</v>
      </c>
      <c r="D33" s="8" t="s">
        <v>436</v>
      </c>
      <c r="E33" s="8" t="s">
        <v>527</v>
      </c>
      <c r="F33" s="8" t="s">
        <v>181</v>
      </c>
      <c r="G33" s="8" t="s">
        <v>528</v>
      </c>
    </row>
    <row r="34" customFormat="false" ht="45.75" hidden="false" customHeight="true" outlineLevel="0" collapsed="false">
      <c r="A34" s="8" t="s">
        <v>529</v>
      </c>
      <c r="B34" s="8" t="s">
        <v>525</v>
      </c>
      <c r="C34" s="8" t="s">
        <v>530</v>
      </c>
      <c r="D34" s="8" t="s">
        <v>436</v>
      </c>
      <c r="E34" s="8" t="s">
        <v>531</v>
      </c>
      <c r="F34" s="8" t="s">
        <v>181</v>
      </c>
      <c r="G34" s="8" t="s">
        <v>532</v>
      </c>
    </row>
    <row r="35" customFormat="false" ht="45.75" hidden="false" customHeight="true" outlineLevel="0" collapsed="false">
      <c r="A35" s="8" t="s">
        <v>533</v>
      </c>
      <c r="B35" s="8" t="s">
        <v>534</v>
      </c>
      <c r="C35" s="8" t="s">
        <v>535</v>
      </c>
      <c r="D35" s="8" t="s">
        <v>430</v>
      </c>
      <c r="E35" s="8" t="s">
        <v>536</v>
      </c>
      <c r="F35" s="8" t="s">
        <v>181</v>
      </c>
      <c r="G35" s="8" t="s">
        <v>537</v>
      </c>
    </row>
    <row r="36" customFormat="false" ht="45.75" hidden="false" customHeight="true" outlineLevel="0" collapsed="false">
      <c r="A36" s="8" t="s">
        <v>538</v>
      </c>
      <c r="B36" s="8" t="s">
        <v>539</v>
      </c>
      <c r="C36" s="8" t="s">
        <v>540</v>
      </c>
      <c r="D36" s="8" t="s">
        <v>436</v>
      </c>
      <c r="E36" s="8" t="s">
        <v>541</v>
      </c>
      <c r="F36" s="8" t="s">
        <v>181</v>
      </c>
      <c r="G36" s="8" t="s">
        <v>215</v>
      </c>
    </row>
    <row r="37" customFormat="false" ht="45.75" hidden="false" customHeight="true" outlineLevel="0" collapsed="false">
      <c r="A37" s="8" t="s">
        <v>542</v>
      </c>
      <c r="B37" s="8" t="s">
        <v>539</v>
      </c>
      <c r="C37" s="8" t="s">
        <v>543</v>
      </c>
      <c r="D37" s="8" t="s">
        <v>544</v>
      </c>
      <c r="E37" s="8" t="s">
        <v>541</v>
      </c>
      <c r="F37" s="8" t="s">
        <v>181</v>
      </c>
      <c r="G37" s="8" t="s">
        <v>545</v>
      </c>
    </row>
    <row r="38" customFormat="false" ht="45.75" hidden="false" customHeight="true" outlineLevel="0" collapsed="false">
      <c r="A38" s="8" t="s">
        <v>546</v>
      </c>
      <c r="B38" s="8" t="s">
        <v>534</v>
      </c>
      <c r="C38" s="8" t="s">
        <v>547</v>
      </c>
      <c r="D38" s="8" t="s">
        <v>436</v>
      </c>
      <c r="E38" s="8" t="s">
        <v>527</v>
      </c>
      <c r="F38" s="8" t="s">
        <v>181</v>
      </c>
      <c r="G38" s="8" t="s">
        <v>215</v>
      </c>
    </row>
    <row r="39" customFormat="false" ht="45.75" hidden="false" customHeight="true" outlineLevel="0" collapsed="false">
      <c r="A39" s="8" t="s">
        <v>548</v>
      </c>
      <c r="B39" s="8" t="s">
        <v>549</v>
      </c>
      <c r="C39" s="8" t="s">
        <v>550</v>
      </c>
      <c r="D39" s="8" t="s">
        <v>436</v>
      </c>
      <c r="E39" s="8" t="s">
        <v>551</v>
      </c>
      <c r="F39" s="8" t="s">
        <v>181</v>
      </c>
      <c r="G39" s="8" t="s">
        <v>552</v>
      </c>
    </row>
    <row r="40" customFormat="false" ht="45.75" hidden="false" customHeight="true" outlineLevel="0" collapsed="false">
      <c r="A40" s="8" t="s">
        <v>553</v>
      </c>
      <c r="B40" s="8" t="s">
        <v>421</v>
      </c>
      <c r="C40" s="8" t="s">
        <v>554</v>
      </c>
      <c r="D40" s="8" t="s">
        <v>436</v>
      </c>
      <c r="E40" s="8" t="s">
        <v>555</v>
      </c>
      <c r="F40" s="8" t="s">
        <v>181</v>
      </c>
      <c r="G40" s="8" t="s">
        <v>556</v>
      </c>
    </row>
    <row r="41" customFormat="false" ht="45.75" hidden="false" customHeight="true" outlineLevel="0" collapsed="false">
      <c r="A41" s="8" t="s">
        <v>557</v>
      </c>
      <c r="B41" s="8" t="s">
        <v>421</v>
      </c>
      <c r="C41" s="8" t="s">
        <v>554</v>
      </c>
      <c r="D41" s="8" t="s">
        <v>513</v>
      </c>
      <c r="E41" s="8" t="s">
        <v>558</v>
      </c>
      <c r="F41" s="8" t="s">
        <v>181</v>
      </c>
      <c r="G41" s="8" t="s">
        <v>559</v>
      </c>
    </row>
    <row r="42" customFormat="false" ht="45.75" hidden="false" customHeight="true" outlineLevel="0" collapsed="false">
      <c r="A42" s="8" t="s">
        <v>560</v>
      </c>
      <c r="B42" s="8" t="s">
        <v>421</v>
      </c>
      <c r="C42" s="8" t="s">
        <v>561</v>
      </c>
      <c r="D42" s="8" t="s">
        <v>562</v>
      </c>
      <c r="E42" s="8" t="s">
        <v>563</v>
      </c>
      <c r="F42" s="8" t="s">
        <v>181</v>
      </c>
      <c r="G42" s="8" t="s">
        <v>564</v>
      </c>
    </row>
    <row r="43" customFormat="false" ht="45.75" hidden="false" customHeight="true" outlineLevel="0" collapsed="false">
      <c r="A43" s="8" t="s">
        <v>565</v>
      </c>
      <c r="B43" s="8" t="s">
        <v>421</v>
      </c>
      <c r="C43" s="8" t="s">
        <v>554</v>
      </c>
      <c r="D43" s="8" t="s">
        <v>566</v>
      </c>
      <c r="E43" s="8" t="s">
        <v>567</v>
      </c>
      <c r="F43" s="8" t="s">
        <v>568</v>
      </c>
      <c r="G43" s="8" t="s">
        <v>569</v>
      </c>
    </row>
    <row r="44" customFormat="false" ht="45.75" hidden="false" customHeight="true" outlineLevel="0" collapsed="false">
      <c r="A44" s="8" t="s">
        <v>570</v>
      </c>
      <c r="B44" s="8" t="s">
        <v>571</v>
      </c>
      <c r="C44" s="8" t="s">
        <v>572</v>
      </c>
      <c r="D44" s="8" t="s">
        <v>513</v>
      </c>
      <c r="E44" s="8" t="s">
        <v>573</v>
      </c>
      <c r="F44" s="8" t="s">
        <v>181</v>
      </c>
      <c r="G44" s="8" t="s">
        <v>574</v>
      </c>
    </row>
    <row r="45" customFormat="false" ht="45.75" hidden="false" customHeight="true" outlineLevel="0" collapsed="false">
      <c r="A45" s="8" t="s">
        <v>575</v>
      </c>
      <c r="B45" s="8" t="s">
        <v>443</v>
      </c>
      <c r="C45" s="8" t="s">
        <v>576</v>
      </c>
      <c r="D45" s="8" t="s">
        <v>577</v>
      </c>
      <c r="E45" s="8" t="s">
        <v>480</v>
      </c>
      <c r="F45" s="8" t="s">
        <v>181</v>
      </c>
      <c r="G45" s="8" t="s">
        <v>578</v>
      </c>
    </row>
    <row r="46" customFormat="false" ht="45.75" hidden="false" customHeight="true" outlineLevel="0" collapsed="false">
      <c r="A46" s="8" t="s">
        <v>579</v>
      </c>
      <c r="B46" s="8" t="s">
        <v>580</v>
      </c>
      <c r="C46" s="8" t="s">
        <v>581</v>
      </c>
      <c r="D46" s="8" t="s">
        <v>582</v>
      </c>
      <c r="E46" s="8" t="s">
        <v>488</v>
      </c>
      <c r="F46" s="8" t="s">
        <v>583</v>
      </c>
      <c r="G46" s="8" t="s">
        <v>584</v>
      </c>
    </row>
    <row r="47" customFormat="false" ht="45.75" hidden="false" customHeight="true" outlineLevel="0" collapsed="false">
      <c r="A47" s="8" t="s">
        <v>585</v>
      </c>
      <c r="B47" s="8" t="s">
        <v>466</v>
      </c>
      <c r="C47" s="8" t="s">
        <v>586</v>
      </c>
      <c r="D47" s="8" t="s">
        <v>587</v>
      </c>
      <c r="E47" s="8" t="s">
        <v>588</v>
      </c>
      <c r="F47" s="8" t="s">
        <v>181</v>
      </c>
      <c r="G47" s="8" t="s">
        <v>589</v>
      </c>
    </row>
    <row r="48" customFormat="false" ht="45.75" hidden="false" customHeight="true" outlineLevel="0" collapsed="false">
      <c r="A48" s="8" t="s">
        <v>590</v>
      </c>
      <c r="B48" s="8" t="s">
        <v>443</v>
      </c>
      <c r="C48" s="8" t="s">
        <v>591</v>
      </c>
      <c r="D48" s="8" t="s">
        <v>461</v>
      </c>
      <c r="E48" s="8" t="s">
        <v>592</v>
      </c>
      <c r="F48" s="8" t="s">
        <v>181</v>
      </c>
      <c r="G48" s="8" t="s">
        <v>593</v>
      </c>
    </row>
    <row r="49" customFormat="false" ht="45.75" hidden="false" customHeight="true" outlineLevel="0" collapsed="false">
      <c r="A49" s="8" t="s">
        <v>594</v>
      </c>
      <c r="B49" s="8" t="s">
        <v>595</v>
      </c>
      <c r="C49" s="8" t="s">
        <v>596</v>
      </c>
      <c r="D49" s="8" t="s">
        <v>411</v>
      </c>
      <c r="E49" s="8" t="s">
        <v>597</v>
      </c>
      <c r="F49" s="8" t="s">
        <v>181</v>
      </c>
      <c r="G49" s="8" t="s">
        <v>598</v>
      </c>
    </row>
    <row r="50" customFormat="false" ht="45.75" hidden="false" customHeight="true" outlineLevel="0" collapsed="false">
      <c r="A50" s="8" t="s">
        <v>599</v>
      </c>
      <c r="B50" s="8" t="s">
        <v>443</v>
      </c>
      <c r="C50" s="8" t="s">
        <v>600</v>
      </c>
      <c r="D50" s="8" t="s">
        <v>601</v>
      </c>
      <c r="E50" s="8" t="s">
        <v>602</v>
      </c>
      <c r="F50" s="8" t="s">
        <v>181</v>
      </c>
      <c r="G50" s="8" t="s">
        <v>603</v>
      </c>
    </row>
    <row r="51" customFormat="false" ht="45.75" hidden="false" customHeight="true" outlineLevel="0" collapsed="false">
      <c r="A51" s="8" t="s">
        <v>604</v>
      </c>
      <c r="B51" s="8" t="s">
        <v>443</v>
      </c>
      <c r="C51" s="8" t="s">
        <v>605</v>
      </c>
      <c r="D51" s="8" t="s">
        <v>503</v>
      </c>
      <c r="E51" s="8" t="s">
        <v>606</v>
      </c>
      <c r="F51" s="8" t="s">
        <v>181</v>
      </c>
      <c r="G51" s="8" t="s">
        <v>215</v>
      </c>
    </row>
    <row r="52" customFormat="false" ht="45.75" hidden="false" customHeight="true" outlineLevel="0" collapsed="false">
      <c r="A52" s="8" t="s">
        <v>607</v>
      </c>
      <c r="B52" s="8" t="s">
        <v>443</v>
      </c>
      <c r="C52" s="8" t="s">
        <v>608</v>
      </c>
      <c r="D52" s="8" t="s">
        <v>461</v>
      </c>
      <c r="E52" s="8" t="s">
        <v>609</v>
      </c>
      <c r="F52" s="8" t="s">
        <v>181</v>
      </c>
      <c r="G52" s="8" t="s">
        <v>610</v>
      </c>
    </row>
    <row r="53" customFormat="false" ht="45.75" hidden="false" customHeight="true" outlineLevel="0" collapsed="false">
      <c r="A53" s="8" t="s">
        <v>611</v>
      </c>
      <c r="B53" s="8" t="s">
        <v>539</v>
      </c>
      <c r="C53" s="8" t="s">
        <v>612</v>
      </c>
      <c r="D53" s="8" t="s">
        <v>430</v>
      </c>
      <c r="E53" s="8" t="s">
        <v>613</v>
      </c>
      <c r="F53" s="8" t="s">
        <v>181</v>
      </c>
      <c r="G53" s="8" t="s">
        <v>614</v>
      </c>
    </row>
    <row r="54" customFormat="false" ht="45.75" hidden="false" customHeight="true" outlineLevel="0" collapsed="false">
      <c r="A54" s="8" t="s">
        <v>615</v>
      </c>
      <c r="B54" s="8" t="s">
        <v>466</v>
      </c>
      <c r="C54" s="8" t="s">
        <v>616</v>
      </c>
      <c r="D54" s="8" t="s">
        <v>430</v>
      </c>
      <c r="E54" s="8" t="s">
        <v>617</v>
      </c>
      <c r="F54" s="8" t="s">
        <v>181</v>
      </c>
      <c r="G54" s="8" t="s">
        <v>618</v>
      </c>
    </row>
    <row r="55" customFormat="false" ht="45.75" hidden="false" customHeight="true" outlineLevel="0" collapsed="false">
      <c r="A55" s="8" t="s">
        <v>619</v>
      </c>
      <c r="B55" s="8" t="s">
        <v>466</v>
      </c>
      <c r="C55" s="8" t="s">
        <v>620</v>
      </c>
      <c r="D55" s="8" t="s">
        <v>436</v>
      </c>
      <c r="E55" s="8" t="s">
        <v>621</v>
      </c>
      <c r="F55" s="8" t="s">
        <v>181</v>
      </c>
      <c r="G55" s="8" t="s">
        <v>622</v>
      </c>
    </row>
    <row r="56" customFormat="false" ht="45.75" hidden="false" customHeight="true" outlineLevel="0" collapsed="false">
      <c r="A56" s="8" t="s">
        <v>623</v>
      </c>
      <c r="B56" s="8" t="s">
        <v>624</v>
      </c>
      <c r="C56" s="8" t="s">
        <v>625</v>
      </c>
      <c r="D56" s="8" t="s">
        <v>436</v>
      </c>
      <c r="E56" s="8" t="s">
        <v>626</v>
      </c>
      <c r="F56" s="8" t="s">
        <v>181</v>
      </c>
      <c r="G56" s="8" t="s">
        <v>627</v>
      </c>
    </row>
    <row r="57" customFormat="false" ht="45.75" hidden="false" customHeight="true" outlineLevel="0" collapsed="false">
      <c r="A57" s="8" t="s">
        <v>628</v>
      </c>
      <c r="B57" s="8" t="s">
        <v>498</v>
      </c>
      <c r="C57" s="8" t="s">
        <v>629</v>
      </c>
      <c r="D57" s="8" t="s">
        <v>430</v>
      </c>
      <c r="E57" s="8" t="s">
        <v>630</v>
      </c>
      <c r="F57" s="8" t="s">
        <v>181</v>
      </c>
      <c r="G57" s="8" t="s">
        <v>631</v>
      </c>
    </row>
    <row r="58" customFormat="false" ht="45.75" hidden="false" customHeight="true" outlineLevel="0" collapsed="false">
      <c r="A58" s="8" t="s">
        <v>632</v>
      </c>
      <c r="B58" s="8" t="s">
        <v>443</v>
      </c>
      <c r="C58" s="8" t="s">
        <v>633</v>
      </c>
      <c r="D58" s="8" t="s">
        <v>436</v>
      </c>
      <c r="E58" s="8" t="s">
        <v>634</v>
      </c>
      <c r="F58" s="8" t="s">
        <v>181</v>
      </c>
      <c r="G58" s="8" t="s">
        <v>635</v>
      </c>
    </row>
    <row r="59" customFormat="false" ht="45.75" hidden="false" customHeight="true" outlineLevel="0" collapsed="false">
      <c r="A59" s="8" t="s">
        <v>636</v>
      </c>
      <c r="B59" s="8" t="s">
        <v>595</v>
      </c>
      <c r="C59" s="8" t="s">
        <v>637</v>
      </c>
      <c r="D59" s="8" t="s">
        <v>430</v>
      </c>
      <c r="E59" s="8" t="s">
        <v>638</v>
      </c>
      <c r="F59" s="8" t="s">
        <v>181</v>
      </c>
      <c r="G59" s="8" t="s">
        <v>639</v>
      </c>
    </row>
    <row r="60" customFormat="false" ht="45.75" hidden="false" customHeight="true" outlineLevel="0" collapsed="false">
      <c r="A60" s="8" t="s">
        <v>640</v>
      </c>
      <c r="B60" s="8" t="s">
        <v>534</v>
      </c>
      <c r="C60" s="8" t="s">
        <v>641</v>
      </c>
      <c r="D60" s="8" t="s">
        <v>436</v>
      </c>
      <c r="E60" s="8" t="s">
        <v>642</v>
      </c>
      <c r="F60" s="8" t="s">
        <v>181</v>
      </c>
      <c r="G60" s="8" t="s">
        <v>643</v>
      </c>
    </row>
    <row r="61" customFormat="false" ht="45.75" hidden="false" customHeight="true" outlineLevel="0" collapsed="false">
      <c r="A61" s="8" t="s">
        <v>644</v>
      </c>
      <c r="B61" s="8" t="s">
        <v>534</v>
      </c>
      <c r="C61" s="8" t="s">
        <v>645</v>
      </c>
      <c r="D61" s="8" t="s">
        <v>513</v>
      </c>
      <c r="E61" s="8" t="s">
        <v>646</v>
      </c>
      <c r="F61" s="8" t="s">
        <v>181</v>
      </c>
      <c r="G61" s="8" t="s">
        <v>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28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5" t="s">
        <v>648</v>
      </c>
    </row>
    <row r="2" customFormat="false" ht="15" hidden="false" customHeight="false" outlineLevel="0" collapsed="false">
      <c r="A2" s="6" t="s">
        <v>649</v>
      </c>
    </row>
    <row r="4" customFormat="false" ht="15" hidden="false" customHeight="false" outlineLevel="0" collapsed="false">
      <c r="A4" s="7" t="s">
        <v>650</v>
      </c>
      <c r="B4" s="7" t="s">
        <v>651</v>
      </c>
      <c r="C4" s="7" t="s">
        <v>652</v>
      </c>
      <c r="D4" s="7" t="s">
        <v>653</v>
      </c>
      <c r="E4" s="7" t="s">
        <v>654</v>
      </c>
      <c r="F4" s="7" t="s">
        <v>655</v>
      </c>
      <c r="G4" s="7" t="s">
        <v>656</v>
      </c>
    </row>
    <row r="5" customFormat="false" ht="61.5" hidden="false" customHeight="true" outlineLevel="0" collapsed="false">
      <c r="A5" s="8" t="n">
        <v>1</v>
      </c>
      <c r="B5" s="8" t="s">
        <v>657</v>
      </c>
      <c r="C5" s="8" t="s">
        <v>658</v>
      </c>
      <c r="D5" s="8" t="s">
        <v>659</v>
      </c>
      <c r="E5" s="8" t="s">
        <v>660</v>
      </c>
      <c r="F5" s="8" t="s">
        <v>661</v>
      </c>
      <c r="G5" s="8" t="s">
        <v>662</v>
      </c>
    </row>
    <row r="6" customFormat="false" ht="61.5" hidden="false" customHeight="true" outlineLevel="0" collapsed="false">
      <c r="A6" s="8" t="n">
        <v>2</v>
      </c>
      <c r="B6" s="8" t="s">
        <v>663</v>
      </c>
      <c r="C6" s="8" t="s">
        <v>664</v>
      </c>
      <c r="D6" s="8" t="s">
        <v>665</v>
      </c>
      <c r="E6" s="8" t="s">
        <v>666</v>
      </c>
      <c r="F6" s="8" t="s">
        <v>667</v>
      </c>
      <c r="G6" s="8" t="s">
        <v>668</v>
      </c>
    </row>
    <row r="7" customFormat="false" ht="61.5" hidden="false" customHeight="true" outlineLevel="0" collapsed="false">
      <c r="A7" s="8" t="n">
        <v>3</v>
      </c>
      <c r="B7" s="8" t="s">
        <v>669</v>
      </c>
      <c r="C7" s="8" t="s">
        <v>670</v>
      </c>
      <c r="D7" s="8" t="s">
        <v>671</v>
      </c>
      <c r="E7" s="8" t="s">
        <v>672</v>
      </c>
      <c r="F7" s="8" t="s">
        <v>673</v>
      </c>
      <c r="G7" s="8" t="s">
        <v>674</v>
      </c>
    </row>
    <row r="8" customFormat="false" ht="61.5" hidden="false" customHeight="true" outlineLevel="0" collapsed="false">
      <c r="A8" s="8" t="n">
        <v>4</v>
      </c>
      <c r="B8" s="8" t="s">
        <v>675</v>
      </c>
      <c r="C8" s="8" t="s">
        <v>676</v>
      </c>
      <c r="D8" s="8" t="s">
        <v>677</v>
      </c>
      <c r="E8" s="8" t="s">
        <v>678</v>
      </c>
      <c r="F8" s="8" t="s">
        <v>679</v>
      </c>
      <c r="G8" s="8" t="s">
        <v>680</v>
      </c>
    </row>
    <row r="9" customFormat="false" ht="61.5" hidden="false" customHeight="true" outlineLevel="0" collapsed="false">
      <c r="A9" s="8" t="n">
        <v>5</v>
      </c>
      <c r="B9" s="8" t="s">
        <v>681</v>
      </c>
      <c r="C9" s="8" t="s">
        <v>682</v>
      </c>
      <c r="D9" s="8" t="s">
        <v>683</v>
      </c>
      <c r="E9" s="8" t="s">
        <v>684</v>
      </c>
      <c r="F9" s="8" t="s">
        <v>673</v>
      </c>
      <c r="G9" s="8" t="s">
        <v>685</v>
      </c>
    </row>
    <row r="10" customFormat="false" ht="61.5" hidden="false" customHeight="true" outlineLevel="0" collapsed="false">
      <c r="A10" s="8" t="n">
        <v>6</v>
      </c>
      <c r="B10" s="8" t="s">
        <v>686</v>
      </c>
      <c r="C10" s="8" t="s">
        <v>687</v>
      </c>
      <c r="D10" s="8" t="s">
        <v>688</v>
      </c>
      <c r="E10" s="8" t="s">
        <v>689</v>
      </c>
      <c r="F10" s="8" t="s">
        <v>690</v>
      </c>
      <c r="G10" s="8" t="s">
        <v>691</v>
      </c>
    </row>
    <row r="11" customFormat="false" ht="61.5" hidden="false" customHeight="true" outlineLevel="0" collapsed="false">
      <c r="A11" s="8" t="n">
        <v>7</v>
      </c>
      <c r="B11" s="8" t="s">
        <v>692</v>
      </c>
      <c r="C11" s="8" t="s">
        <v>693</v>
      </c>
      <c r="D11" s="8" t="s">
        <v>694</v>
      </c>
      <c r="E11" s="8" t="s">
        <v>695</v>
      </c>
      <c r="F11" s="8" t="s">
        <v>696</v>
      </c>
      <c r="G11" s="8" t="s">
        <v>697</v>
      </c>
    </row>
    <row r="12" customFormat="false" ht="61.5" hidden="false" customHeight="true" outlineLevel="0" collapsed="false">
      <c r="A12" s="8" t="n">
        <v>8</v>
      </c>
      <c r="B12" s="8" t="s">
        <v>698</v>
      </c>
      <c r="C12" s="8" t="s">
        <v>699</v>
      </c>
      <c r="D12" s="8" t="s">
        <v>700</v>
      </c>
      <c r="E12" s="8" t="s">
        <v>701</v>
      </c>
      <c r="F12" s="8" t="s">
        <v>661</v>
      </c>
      <c r="G12" s="8" t="s">
        <v>702</v>
      </c>
    </row>
    <row r="13" customFormat="false" ht="61.5" hidden="false" customHeight="true" outlineLevel="0" collapsed="false">
      <c r="A13" s="8" t="n">
        <v>9</v>
      </c>
      <c r="B13" s="8" t="s">
        <v>703</v>
      </c>
      <c r="C13" s="8" t="s">
        <v>704</v>
      </c>
      <c r="D13" s="8" t="s">
        <v>705</v>
      </c>
      <c r="E13" s="8" t="s">
        <v>706</v>
      </c>
      <c r="F13" s="8" t="s">
        <v>707</v>
      </c>
      <c r="G13" s="8" t="s">
        <v>708</v>
      </c>
    </row>
    <row r="14" customFormat="false" ht="61.5" hidden="false" customHeight="true" outlineLevel="0" collapsed="false">
      <c r="A14" s="8" t="n">
        <v>10</v>
      </c>
      <c r="B14" s="8" t="s">
        <v>709</v>
      </c>
      <c r="C14" s="8" t="s">
        <v>710</v>
      </c>
      <c r="D14" s="8" t="s">
        <v>711</v>
      </c>
      <c r="E14" s="8" t="s">
        <v>215</v>
      </c>
      <c r="F14" s="8" t="s">
        <v>712</v>
      </c>
      <c r="G14" s="8" t="s">
        <v>713</v>
      </c>
    </row>
    <row r="15" customFormat="false" ht="61.5" hidden="false" customHeight="true" outlineLevel="0" collapsed="false">
      <c r="A15" s="8" t="n">
        <v>11</v>
      </c>
      <c r="B15" s="8" t="s">
        <v>714</v>
      </c>
      <c r="C15" s="8" t="s">
        <v>715</v>
      </c>
      <c r="D15" s="8" t="s">
        <v>711</v>
      </c>
      <c r="E15" s="8" t="s">
        <v>215</v>
      </c>
      <c r="F15" s="8" t="s">
        <v>716</v>
      </c>
      <c r="G15" s="8" t="s">
        <v>717</v>
      </c>
    </row>
    <row r="16" customFormat="false" ht="61.5" hidden="false" customHeight="true" outlineLevel="0" collapsed="false">
      <c r="A16" s="8" t="n">
        <v>12</v>
      </c>
      <c r="B16" s="8" t="s">
        <v>718</v>
      </c>
      <c r="C16" s="8" t="s">
        <v>719</v>
      </c>
      <c r="D16" s="8" t="s">
        <v>711</v>
      </c>
      <c r="E16" s="8" t="s">
        <v>215</v>
      </c>
      <c r="F16" s="8" t="s">
        <v>712</v>
      </c>
      <c r="G16" s="8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5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721</v>
      </c>
    </row>
    <row r="2" customFormat="false" ht="15" hidden="false" customHeight="false" outlineLevel="0" collapsed="false">
      <c r="A2" s="6" t="s">
        <v>722</v>
      </c>
    </row>
    <row r="4" customFormat="false" ht="15" hidden="false" customHeight="false" outlineLevel="0" collapsed="false">
      <c r="A4" s="7" t="s">
        <v>723</v>
      </c>
      <c r="B4" s="7" t="s">
        <v>724</v>
      </c>
      <c r="C4" s="7" t="s">
        <v>725</v>
      </c>
      <c r="D4" s="7" t="s">
        <v>726</v>
      </c>
      <c r="E4" s="7" t="s">
        <v>727</v>
      </c>
    </row>
    <row r="5" customFormat="false" ht="33.75" hidden="false" customHeight="true" outlineLevel="0" collapsed="false">
      <c r="A5" s="8" t="s">
        <v>728</v>
      </c>
      <c r="B5" s="8" t="s">
        <v>728</v>
      </c>
      <c r="C5" s="8" t="s">
        <v>729</v>
      </c>
      <c r="D5" s="8" t="s">
        <v>730</v>
      </c>
      <c r="E5" s="8" t="s">
        <v>731</v>
      </c>
    </row>
    <row r="6" customFormat="false" ht="33.75" hidden="false" customHeight="true" outlineLevel="0" collapsed="false">
      <c r="A6" s="8" t="s">
        <v>732</v>
      </c>
      <c r="B6" s="8" t="s">
        <v>733</v>
      </c>
      <c r="C6" s="8" t="s">
        <v>734</v>
      </c>
      <c r="D6" s="8" t="s">
        <v>735</v>
      </c>
      <c r="E6" s="8" t="s">
        <v>736</v>
      </c>
    </row>
    <row r="7" customFormat="false" ht="33.75" hidden="false" customHeight="true" outlineLevel="0" collapsed="false">
      <c r="A7" s="8" t="s">
        <v>737</v>
      </c>
      <c r="B7" s="8" t="s">
        <v>737</v>
      </c>
      <c r="C7" s="8" t="s">
        <v>738</v>
      </c>
      <c r="D7" s="8" t="s">
        <v>739</v>
      </c>
      <c r="E7" s="8" t="s">
        <v>740</v>
      </c>
    </row>
    <row r="8" customFormat="false" ht="33.75" hidden="false" customHeight="true" outlineLevel="0" collapsed="false">
      <c r="A8" s="8" t="s">
        <v>741</v>
      </c>
      <c r="B8" s="8" t="s">
        <v>742</v>
      </c>
      <c r="C8" s="8" t="s">
        <v>743</v>
      </c>
      <c r="D8" s="8" t="s">
        <v>744</v>
      </c>
      <c r="E8" s="8" t="s">
        <v>740</v>
      </c>
    </row>
    <row r="9" customFormat="false" ht="33.75" hidden="false" customHeight="true" outlineLevel="0" collapsed="false">
      <c r="A9" s="8" t="s">
        <v>745</v>
      </c>
      <c r="B9" s="8" t="s">
        <v>746</v>
      </c>
      <c r="C9" s="8" t="s">
        <v>747</v>
      </c>
      <c r="D9" s="8" t="s">
        <v>748</v>
      </c>
      <c r="E9" s="8" t="s">
        <v>740</v>
      </c>
    </row>
    <row r="10" customFormat="false" ht="33.75" hidden="false" customHeight="true" outlineLevel="0" collapsed="false">
      <c r="A10" s="8" t="s">
        <v>749</v>
      </c>
      <c r="B10" s="8" t="s">
        <v>749</v>
      </c>
      <c r="C10" s="8" t="s">
        <v>750</v>
      </c>
      <c r="D10" s="8" t="s">
        <v>751</v>
      </c>
      <c r="E10" s="8" t="s">
        <v>740</v>
      </c>
    </row>
    <row r="11" customFormat="false" ht="33.75" hidden="false" customHeight="true" outlineLevel="0" collapsed="false">
      <c r="A11" s="8" t="s">
        <v>752</v>
      </c>
      <c r="B11" s="8" t="s">
        <v>753</v>
      </c>
      <c r="C11" s="8" t="s">
        <v>754</v>
      </c>
      <c r="D11" s="8" t="s">
        <v>755</v>
      </c>
      <c r="E11" s="8" t="s">
        <v>740</v>
      </c>
    </row>
    <row r="12" customFormat="false" ht="33.75" hidden="false" customHeight="true" outlineLevel="0" collapsed="false">
      <c r="A12" s="8" t="s">
        <v>756</v>
      </c>
      <c r="B12" s="8" t="s">
        <v>756</v>
      </c>
      <c r="C12" s="8" t="s">
        <v>757</v>
      </c>
      <c r="D12" s="8" t="s">
        <v>758</v>
      </c>
      <c r="E12" s="8" t="s">
        <v>759</v>
      </c>
    </row>
    <row r="13" customFormat="false" ht="33.75" hidden="false" customHeight="true" outlineLevel="0" collapsed="false">
      <c r="A13" s="8" t="s">
        <v>760</v>
      </c>
      <c r="B13" s="8" t="s">
        <v>761</v>
      </c>
      <c r="C13" s="8" t="s">
        <v>762</v>
      </c>
      <c r="D13" s="8" t="s">
        <v>763</v>
      </c>
      <c r="E13" s="8" t="s">
        <v>764</v>
      </c>
    </row>
    <row r="14" customFormat="false" ht="33.75" hidden="false" customHeight="true" outlineLevel="0" collapsed="false">
      <c r="A14" s="8" t="s">
        <v>765</v>
      </c>
      <c r="B14" s="8" t="s">
        <v>765</v>
      </c>
      <c r="C14" s="8" t="s">
        <v>766</v>
      </c>
      <c r="D14" s="8" t="s">
        <v>767</v>
      </c>
      <c r="E14" s="8" t="s">
        <v>740</v>
      </c>
    </row>
    <row r="15" customFormat="false" ht="33.75" hidden="false" customHeight="true" outlineLevel="0" collapsed="false">
      <c r="A15" s="8" t="s">
        <v>768</v>
      </c>
      <c r="B15" s="8" t="s">
        <v>769</v>
      </c>
      <c r="C15" s="8" t="s">
        <v>770</v>
      </c>
      <c r="D15" s="8" t="s">
        <v>771</v>
      </c>
      <c r="E15" s="8" t="s">
        <v>740</v>
      </c>
    </row>
    <row r="16" customFormat="false" ht="33.75" hidden="false" customHeight="true" outlineLevel="0" collapsed="false">
      <c r="A16" s="8" t="s">
        <v>772</v>
      </c>
      <c r="B16" s="8" t="s">
        <v>769</v>
      </c>
      <c r="C16" s="8" t="s">
        <v>773</v>
      </c>
      <c r="D16" s="8" t="s">
        <v>774</v>
      </c>
      <c r="E16" s="8" t="s">
        <v>740</v>
      </c>
    </row>
    <row r="17" customFormat="false" ht="33.75" hidden="false" customHeight="true" outlineLevel="0" collapsed="false">
      <c r="A17" s="8" t="s">
        <v>775</v>
      </c>
      <c r="B17" s="8" t="s">
        <v>776</v>
      </c>
      <c r="C17" s="8" t="s">
        <v>777</v>
      </c>
      <c r="D17" s="8" t="s">
        <v>778</v>
      </c>
      <c r="E17" s="8" t="s">
        <v>779</v>
      </c>
    </row>
    <row r="18" customFormat="false" ht="33.75" hidden="false" customHeight="true" outlineLevel="0" collapsed="false">
      <c r="A18" s="8" t="s">
        <v>780</v>
      </c>
      <c r="B18" s="8" t="s">
        <v>781</v>
      </c>
      <c r="C18" s="8" t="s">
        <v>782</v>
      </c>
      <c r="D18" s="8" t="s">
        <v>783</v>
      </c>
      <c r="E18" s="8" t="s">
        <v>740</v>
      </c>
    </row>
    <row r="19" customFormat="false" ht="33.75" hidden="false" customHeight="true" outlineLevel="0" collapsed="false">
      <c r="A19" s="8" t="s">
        <v>784</v>
      </c>
      <c r="B19" s="8" t="s">
        <v>785</v>
      </c>
      <c r="C19" s="8" t="s">
        <v>692</v>
      </c>
      <c r="D19" s="8" t="s">
        <v>786</v>
      </c>
      <c r="E19" s="8" t="s">
        <v>787</v>
      </c>
    </row>
    <row r="20" customFormat="false" ht="33.75" hidden="false" customHeight="true" outlineLevel="0" collapsed="false">
      <c r="A20" s="8" t="s">
        <v>788</v>
      </c>
      <c r="B20" s="8" t="s">
        <v>788</v>
      </c>
      <c r="C20" s="8" t="s">
        <v>686</v>
      </c>
      <c r="D20" s="8" t="s">
        <v>789</v>
      </c>
      <c r="E20" s="8" t="s">
        <v>790</v>
      </c>
    </row>
    <row r="21" customFormat="false" ht="33.75" hidden="false" customHeight="true" outlineLevel="0" collapsed="false">
      <c r="A21" s="8" t="s">
        <v>791</v>
      </c>
      <c r="B21" s="8" t="s">
        <v>746</v>
      </c>
      <c r="C21" s="8" t="s">
        <v>792</v>
      </c>
      <c r="D21" s="8" t="s">
        <v>793</v>
      </c>
      <c r="E21" s="8" t="s">
        <v>794</v>
      </c>
    </row>
    <row r="22" customFormat="false" ht="33.75" hidden="false" customHeight="true" outlineLevel="0" collapsed="false">
      <c r="A22" s="8" t="s">
        <v>795</v>
      </c>
      <c r="B22" s="8" t="s">
        <v>796</v>
      </c>
      <c r="C22" s="8" t="s">
        <v>797</v>
      </c>
      <c r="D22" s="8" t="s">
        <v>798</v>
      </c>
      <c r="E22" s="8" t="s">
        <v>799</v>
      </c>
    </row>
    <row r="23" customFormat="false" ht="33.75" hidden="false" customHeight="true" outlineLevel="0" collapsed="false">
      <c r="A23" s="8" t="s">
        <v>800</v>
      </c>
      <c r="B23" s="8" t="s">
        <v>800</v>
      </c>
      <c r="C23" s="8" t="s">
        <v>801</v>
      </c>
      <c r="D23" s="8" t="s">
        <v>802</v>
      </c>
      <c r="E23" s="8" t="s">
        <v>799</v>
      </c>
    </row>
    <row r="24" customFormat="false" ht="33.75" hidden="false" customHeight="true" outlineLevel="0" collapsed="false">
      <c r="A24" s="8" t="s">
        <v>803</v>
      </c>
      <c r="B24" s="8" t="s">
        <v>803</v>
      </c>
      <c r="C24" s="8" t="s">
        <v>804</v>
      </c>
      <c r="D24" s="8" t="s">
        <v>805</v>
      </c>
      <c r="E24" s="8" t="s">
        <v>740</v>
      </c>
    </row>
    <row r="25" customFormat="false" ht="33.75" hidden="false" customHeight="true" outlineLevel="0" collapsed="false">
      <c r="A25" s="8" t="s">
        <v>806</v>
      </c>
      <c r="B25" s="8" t="s">
        <v>806</v>
      </c>
      <c r="C25" s="8" t="s">
        <v>807</v>
      </c>
      <c r="D25" s="8" t="s">
        <v>808</v>
      </c>
      <c r="E25" s="8" t="s">
        <v>740</v>
      </c>
    </row>
    <row r="26" customFormat="false" ht="33.75" hidden="false" customHeight="true" outlineLevel="0" collapsed="false">
      <c r="A26" s="8" t="s">
        <v>809</v>
      </c>
      <c r="B26" s="8" t="s">
        <v>810</v>
      </c>
      <c r="C26" s="8" t="s">
        <v>811</v>
      </c>
      <c r="D26" s="8" t="s">
        <v>812</v>
      </c>
      <c r="E26" s="8" t="s">
        <v>740</v>
      </c>
    </row>
    <row r="27" customFormat="false" ht="33.75" hidden="false" customHeight="true" outlineLevel="0" collapsed="false">
      <c r="A27" s="8" t="s">
        <v>813</v>
      </c>
      <c r="B27" s="8" t="s">
        <v>813</v>
      </c>
      <c r="C27" s="8" t="s">
        <v>811</v>
      </c>
      <c r="D27" s="8" t="s">
        <v>814</v>
      </c>
      <c r="E27" s="8" t="s">
        <v>740</v>
      </c>
    </row>
    <row r="28" customFormat="false" ht="33.75" hidden="false" customHeight="true" outlineLevel="0" collapsed="false">
      <c r="A28" s="8" t="s">
        <v>815</v>
      </c>
      <c r="B28" s="8" t="s">
        <v>816</v>
      </c>
      <c r="C28" s="8" t="s">
        <v>817</v>
      </c>
      <c r="D28" s="8" t="s">
        <v>818</v>
      </c>
      <c r="E28" s="8" t="s">
        <v>740</v>
      </c>
    </row>
    <row r="29" customFormat="false" ht="33.75" hidden="false" customHeight="true" outlineLevel="0" collapsed="false">
      <c r="A29" s="8" t="s">
        <v>699</v>
      </c>
      <c r="B29" s="8" t="s">
        <v>699</v>
      </c>
      <c r="C29" s="8" t="s">
        <v>819</v>
      </c>
      <c r="D29" s="8" t="s">
        <v>820</v>
      </c>
      <c r="E29" s="8" t="s">
        <v>821</v>
      </c>
    </row>
    <row r="30" customFormat="false" ht="33.75" hidden="false" customHeight="true" outlineLevel="0" collapsed="false">
      <c r="A30" s="8" t="s">
        <v>822</v>
      </c>
      <c r="B30" s="8" t="s">
        <v>823</v>
      </c>
      <c r="C30" s="8" t="s">
        <v>824</v>
      </c>
      <c r="D30" s="8" t="s">
        <v>825</v>
      </c>
      <c r="E30" s="8" t="s">
        <v>740</v>
      </c>
    </row>
    <row r="31" customFormat="false" ht="33.75" hidden="false" customHeight="true" outlineLevel="0" collapsed="false">
      <c r="A31" s="8" t="s">
        <v>826</v>
      </c>
      <c r="B31" s="8" t="s">
        <v>827</v>
      </c>
      <c r="C31" s="8" t="s">
        <v>828</v>
      </c>
      <c r="D31" s="8" t="s">
        <v>829</v>
      </c>
      <c r="E31" s="8" t="s">
        <v>740</v>
      </c>
    </row>
    <row r="32" customFormat="false" ht="33.75" hidden="false" customHeight="true" outlineLevel="0" collapsed="false">
      <c r="A32" s="8" t="s">
        <v>830</v>
      </c>
      <c r="B32" s="8" t="s">
        <v>830</v>
      </c>
      <c r="C32" s="8" t="s">
        <v>831</v>
      </c>
      <c r="D32" s="8" t="s">
        <v>832</v>
      </c>
      <c r="E32" s="8" t="s">
        <v>740</v>
      </c>
    </row>
    <row r="33" customFormat="false" ht="33.75" hidden="false" customHeight="true" outlineLevel="0" collapsed="false">
      <c r="A33" s="8" t="s">
        <v>833</v>
      </c>
      <c r="B33" s="8" t="s">
        <v>834</v>
      </c>
      <c r="C33" s="8" t="s">
        <v>835</v>
      </c>
      <c r="D33" s="8" t="s">
        <v>836</v>
      </c>
      <c r="E33" s="8" t="s">
        <v>837</v>
      </c>
    </row>
    <row r="34" customFormat="false" ht="33.75" hidden="false" customHeight="true" outlineLevel="0" collapsed="false">
      <c r="A34" s="8" t="s">
        <v>838</v>
      </c>
      <c r="B34" s="8" t="s">
        <v>839</v>
      </c>
      <c r="C34" s="8" t="s">
        <v>840</v>
      </c>
      <c r="D34" s="8" t="s">
        <v>215</v>
      </c>
      <c r="E34" s="8" t="s">
        <v>215</v>
      </c>
    </row>
    <row r="36" customFormat="false" ht="15" hidden="false" customHeight="false" outlineLevel="0" collapsed="false">
      <c r="A36" s="4" t="s">
        <v>841</v>
      </c>
    </row>
    <row r="37" customFormat="false" ht="22.35" hidden="false" customHeight="true" outlineLevel="0" collapsed="false">
      <c r="A37" s="9" t="s">
        <v>842</v>
      </c>
      <c r="B37" s="9"/>
      <c r="C37" s="9"/>
      <c r="D37" s="9"/>
      <c r="E37" s="9"/>
    </row>
    <row r="39" customFormat="false" ht="33.75" hidden="false" customHeight="true" outlineLevel="0" collapsed="false">
      <c r="A39" s="8" t="s">
        <v>843</v>
      </c>
      <c r="B39" s="8" t="s">
        <v>844</v>
      </c>
      <c r="C39" s="8" t="s">
        <v>845</v>
      </c>
      <c r="D39" s="8" t="s">
        <v>846</v>
      </c>
      <c r="E39" s="8" t="s">
        <v>740</v>
      </c>
    </row>
    <row r="40" customFormat="false" ht="33.75" hidden="false" customHeight="true" outlineLevel="0" collapsed="false">
      <c r="A40" s="8" t="s">
        <v>847</v>
      </c>
      <c r="B40" s="8" t="s">
        <v>848</v>
      </c>
      <c r="C40" s="8" t="s">
        <v>849</v>
      </c>
      <c r="D40" s="8" t="s">
        <v>850</v>
      </c>
      <c r="E40" s="8" t="s">
        <v>740</v>
      </c>
    </row>
    <row r="41" customFormat="false" ht="33.75" hidden="false" customHeight="true" outlineLevel="0" collapsed="false">
      <c r="A41" s="8" t="s">
        <v>851</v>
      </c>
      <c r="B41" s="8" t="s">
        <v>852</v>
      </c>
      <c r="C41" s="8" t="s">
        <v>849</v>
      </c>
      <c r="D41" s="8" t="s">
        <v>853</v>
      </c>
      <c r="E41" s="8" t="s">
        <v>740</v>
      </c>
    </row>
    <row r="42" customFormat="false" ht="33.75" hidden="false" customHeight="true" outlineLevel="0" collapsed="false">
      <c r="A42" s="8" t="s">
        <v>854</v>
      </c>
      <c r="B42" s="8" t="s">
        <v>855</v>
      </c>
      <c r="C42" s="8" t="s">
        <v>770</v>
      </c>
      <c r="D42" s="8" t="s">
        <v>856</v>
      </c>
      <c r="E42" s="8" t="s">
        <v>740</v>
      </c>
    </row>
    <row r="43" customFormat="false" ht="33.75" hidden="false" customHeight="true" outlineLevel="0" collapsed="false">
      <c r="A43" s="8" t="s">
        <v>857</v>
      </c>
      <c r="B43" s="8" t="s">
        <v>858</v>
      </c>
      <c r="C43" s="8" t="s">
        <v>849</v>
      </c>
      <c r="D43" s="8" t="s">
        <v>859</v>
      </c>
      <c r="E43" s="8" t="s">
        <v>740</v>
      </c>
    </row>
    <row r="44" customFormat="false" ht="33.75" hidden="false" customHeight="true" outlineLevel="0" collapsed="false">
      <c r="A44" s="8" t="s">
        <v>860</v>
      </c>
      <c r="B44" s="8" t="s">
        <v>861</v>
      </c>
      <c r="C44" s="8" t="s">
        <v>734</v>
      </c>
      <c r="D44" s="8" t="s">
        <v>862</v>
      </c>
      <c r="E44" s="8" t="s">
        <v>863</v>
      </c>
    </row>
    <row r="45" customFormat="false" ht="33.75" hidden="false" customHeight="true" outlineLevel="0" collapsed="false">
      <c r="A45" s="8" t="s">
        <v>864</v>
      </c>
      <c r="B45" s="8" t="s">
        <v>865</v>
      </c>
      <c r="C45" s="8" t="s">
        <v>866</v>
      </c>
      <c r="D45" s="8" t="s">
        <v>867</v>
      </c>
      <c r="E45" s="8" t="s">
        <v>740</v>
      </c>
    </row>
    <row r="46" customFormat="false" ht="33.75" hidden="false" customHeight="true" outlineLevel="0" collapsed="false">
      <c r="A46" s="8" t="s">
        <v>868</v>
      </c>
      <c r="B46" s="8" t="s">
        <v>869</v>
      </c>
      <c r="C46" s="8" t="s">
        <v>870</v>
      </c>
      <c r="D46" s="8" t="s">
        <v>871</v>
      </c>
      <c r="E46" s="8" t="s">
        <v>740</v>
      </c>
    </row>
    <row r="47" customFormat="false" ht="33.75" hidden="false" customHeight="true" outlineLevel="0" collapsed="false">
      <c r="A47" s="8" t="s">
        <v>872</v>
      </c>
      <c r="B47" s="8" t="s">
        <v>873</v>
      </c>
      <c r="C47" s="8" t="s">
        <v>874</v>
      </c>
      <c r="D47" s="8" t="s">
        <v>875</v>
      </c>
      <c r="E47" s="8" t="s">
        <v>740</v>
      </c>
    </row>
    <row r="48" customFormat="false" ht="33.75" hidden="false" customHeight="true" outlineLevel="0" collapsed="false">
      <c r="A48" s="8" t="s">
        <v>876</v>
      </c>
      <c r="B48" s="8" t="s">
        <v>877</v>
      </c>
      <c r="C48" s="8" t="s">
        <v>874</v>
      </c>
      <c r="D48" s="8" t="s">
        <v>878</v>
      </c>
      <c r="E48" s="8" t="s">
        <v>740</v>
      </c>
    </row>
    <row r="50" customFormat="false" ht="15" hidden="false" customHeight="false" outlineLevel="0" collapsed="false">
      <c r="A50" s="4" t="s">
        <v>879</v>
      </c>
    </row>
    <row r="51" customFormat="false" ht="46.25" hidden="false" customHeight="false" outlineLevel="0" collapsed="false">
      <c r="A51" s="2" t="s">
        <v>880</v>
      </c>
      <c r="B51" s="3" t="s">
        <v>881</v>
      </c>
    </row>
    <row r="52" customFormat="false" ht="23.85" hidden="false" customHeight="false" outlineLevel="0" collapsed="false">
      <c r="A52" s="2" t="s">
        <v>882</v>
      </c>
      <c r="B52" s="3" t="s">
        <v>883</v>
      </c>
    </row>
    <row r="53" customFormat="false" ht="23.85" hidden="false" customHeight="false" outlineLevel="0" collapsed="false">
      <c r="A53" s="2" t="s">
        <v>884</v>
      </c>
      <c r="B53" s="3" t="s">
        <v>885</v>
      </c>
    </row>
    <row r="54" customFormat="false" ht="15" hidden="false" customHeight="false" outlineLevel="0" collapsed="false">
      <c r="A54" s="2" t="s">
        <v>886</v>
      </c>
      <c r="B54" s="3" t="s">
        <v>887</v>
      </c>
    </row>
    <row r="55" customFormat="false" ht="15" hidden="false" customHeight="false" outlineLevel="0" collapsed="false">
      <c r="A55" s="2" t="s">
        <v>888</v>
      </c>
      <c r="B55" s="3" t="s">
        <v>889</v>
      </c>
    </row>
    <row r="56" customFormat="false" ht="35.05" hidden="false" customHeight="false" outlineLevel="0" collapsed="false">
      <c r="A56" s="2" t="s">
        <v>848</v>
      </c>
      <c r="B56" s="3" t="s">
        <v>890</v>
      </c>
    </row>
    <row r="57" customFormat="false" ht="23.85" hidden="false" customHeight="false" outlineLevel="0" collapsed="false">
      <c r="A57" s="2" t="s">
        <v>891</v>
      </c>
      <c r="B57" s="3" t="s">
        <v>892</v>
      </c>
    </row>
    <row r="58" customFormat="false" ht="68.65" hidden="false" customHeight="false" outlineLevel="0" collapsed="false">
      <c r="A58" s="2" t="s">
        <v>893</v>
      </c>
      <c r="B58" s="3" t="s">
        <v>894</v>
      </c>
    </row>
  </sheetData>
  <mergeCells count="1">
    <mergeCell ref="A37:E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34"/>
    <col collapsed="false" customWidth="true" hidden="false" outlineLevel="0" max="4" min="4" style="0" width="30"/>
    <col collapsed="false" customWidth="true" hidden="false" outlineLevel="0" max="6" min="5" style="0" width="34"/>
    <col collapsed="false" customWidth="true" hidden="false" outlineLevel="0" max="7" min="7" style="0" width="46"/>
  </cols>
  <sheetData>
    <row r="1" customFormat="false" ht="17.35" hidden="false" customHeight="false" outlineLevel="0" collapsed="false">
      <c r="A1" s="5" t="s">
        <v>895</v>
      </c>
    </row>
    <row r="2" customFormat="false" ht="15" hidden="false" customHeight="false" outlineLevel="0" collapsed="false">
      <c r="A2" s="6" t="s">
        <v>896</v>
      </c>
    </row>
    <row r="4" customFormat="false" ht="23.85" hidden="false" customHeight="false" outlineLevel="0" collapsed="false">
      <c r="A4" s="7" t="s">
        <v>897</v>
      </c>
      <c r="B4" s="7" t="s">
        <v>898</v>
      </c>
      <c r="C4" s="7" t="s">
        <v>899</v>
      </c>
      <c r="D4" s="7" t="s">
        <v>900</v>
      </c>
      <c r="E4" s="7" t="s">
        <v>901</v>
      </c>
      <c r="F4" s="7" t="s">
        <v>902</v>
      </c>
      <c r="G4" s="7" t="s">
        <v>40</v>
      </c>
    </row>
    <row r="5" customFormat="false" ht="73.5" hidden="false" customHeight="true" outlineLevel="0" collapsed="false">
      <c r="A5" s="8" t="s">
        <v>134</v>
      </c>
      <c r="B5" s="8" t="s">
        <v>903</v>
      </c>
      <c r="C5" s="8" t="s">
        <v>904</v>
      </c>
      <c r="D5" s="8" t="s">
        <v>905</v>
      </c>
      <c r="E5" s="8" t="s">
        <v>906</v>
      </c>
      <c r="F5" s="8" t="s">
        <v>907</v>
      </c>
      <c r="G5" s="8" t="s">
        <v>908</v>
      </c>
    </row>
    <row r="6" customFormat="false" ht="73.5" hidden="false" customHeight="true" outlineLevel="0" collapsed="false">
      <c r="A6" s="8" t="s">
        <v>909</v>
      </c>
      <c r="B6" s="8" t="s">
        <v>910</v>
      </c>
      <c r="C6" s="8" t="s">
        <v>911</v>
      </c>
      <c r="D6" s="8" t="s">
        <v>912</v>
      </c>
      <c r="E6" s="8" t="s">
        <v>913</v>
      </c>
      <c r="F6" s="8" t="s">
        <v>914</v>
      </c>
      <c r="G6" s="8" t="s">
        <v>915</v>
      </c>
    </row>
    <row r="7" customFormat="false" ht="73.5" hidden="false" customHeight="true" outlineLevel="0" collapsed="false">
      <c r="A7" s="8" t="s">
        <v>350</v>
      </c>
      <c r="B7" s="8" t="s">
        <v>916</v>
      </c>
      <c r="C7" s="8" t="s">
        <v>917</v>
      </c>
      <c r="D7" s="8" t="s">
        <v>918</v>
      </c>
      <c r="E7" s="8" t="s">
        <v>919</v>
      </c>
      <c r="F7" s="8" t="s">
        <v>920</v>
      </c>
      <c r="G7" s="8" t="s">
        <v>921</v>
      </c>
    </row>
    <row r="8" customFormat="false" ht="73.5" hidden="false" customHeight="true" outlineLevel="0" collapsed="false">
      <c r="A8" s="8" t="s">
        <v>359</v>
      </c>
      <c r="B8" s="8" t="s">
        <v>922</v>
      </c>
      <c r="C8" s="8" t="s">
        <v>923</v>
      </c>
      <c r="D8" s="8" t="s">
        <v>924</v>
      </c>
      <c r="E8" s="8" t="s">
        <v>925</v>
      </c>
      <c r="F8" s="8" t="s">
        <v>926</v>
      </c>
      <c r="G8" s="8" t="s">
        <v>927</v>
      </c>
    </row>
    <row r="9" customFormat="false" ht="73.5" hidden="false" customHeight="true" outlineLevel="0" collapsed="false">
      <c r="A9" s="8" t="s">
        <v>367</v>
      </c>
      <c r="B9" s="8" t="s">
        <v>928</v>
      </c>
      <c r="C9" s="8" t="s">
        <v>929</v>
      </c>
      <c r="D9" s="8" t="s">
        <v>930</v>
      </c>
      <c r="E9" s="8" t="s">
        <v>931</v>
      </c>
      <c r="F9" s="8" t="s">
        <v>932</v>
      </c>
      <c r="G9" s="8" t="s">
        <v>933</v>
      </c>
    </row>
    <row r="10" customFormat="false" ht="73.5" hidden="false" customHeight="true" outlineLevel="0" collapsed="false">
      <c r="A10" s="8" t="s">
        <v>376</v>
      </c>
      <c r="B10" s="8" t="s">
        <v>934</v>
      </c>
      <c r="C10" s="8" t="s">
        <v>935</v>
      </c>
      <c r="D10" s="8" t="s">
        <v>936</v>
      </c>
      <c r="E10" s="8" t="s">
        <v>937</v>
      </c>
      <c r="F10" s="8" t="s">
        <v>938</v>
      </c>
      <c r="G10" s="8" t="s">
        <v>939</v>
      </c>
    </row>
    <row r="11" customFormat="false" ht="73.5" hidden="false" customHeight="true" outlineLevel="0" collapsed="false">
      <c r="A11" s="8" t="s">
        <v>385</v>
      </c>
      <c r="B11" s="8" t="s">
        <v>940</v>
      </c>
      <c r="C11" s="8" t="s">
        <v>941</v>
      </c>
      <c r="D11" s="8" t="s">
        <v>942</v>
      </c>
      <c r="E11" s="8" t="s">
        <v>943</v>
      </c>
      <c r="F11" s="8" t="s">
        <v>944</v>
      </c>
      <c r="G11" s="8" t="s">
        <v>945</v>
      </c>
    </row>
    <row r="12" customFormat="false" ht="73.5" hidden="false" customHeight="true" outlineLevel="0" collapsed="false">
      <c r="A12" s="8" t="s">
        <v>395</v>
      </c>
      <c r="B12" s="8" t="s">
        <v>946</v>
      </c>
      <c r="C12" s="8" t="s">
        <v>947</v>
      </c>
      <c r="D12" s="8" t="s">
        <v>948</v>
      </c>
      <c r="E12" s="8" t="s">
        <v>949</v>
      </c>
      <c r="F12" s="8" t="s">
        <v>950</v>
      </c>
      <c r="G12" s="8" t="s">
        <v>951</v>
      </c>
    </row>
    <row r="13" customFormat="false" ht="73.5" hidden="false" customHeight="true" outlineLevel="0" collapsed="false">
      <c r="A13" s="8" t="s">
        <v>952</v>
      </c>
      <c r="B13" s="8" t="s">
        <v>953</v>
      </c>
      <c r="C13" s="8" t="s">
        <v>954</v>
      </c>
      <c r="D13" s="8" t="s">
        <v>955</v>
      </c>
      <c r="E13" s="8" t="s">
        <v>956</v>
      </c>
      <c r="F13" s="8" t="s">
        <v>957</v>
      </c>
      <c r="G13" s="8" t="s">
        <v>958</v>
      </c>
    </row>
    <row r="14" customFormat="false" ht="73.5" hidden="false" customHeight="true" outlineLevel="0" collapsed="false">
      <c r="A14" s="8" t="s">
        <v>959</v>
      </c>
      <c r="B14" s="8" t="s">
        <v>960</v>
      </c>
      <c r="C14" s="8" t="s">
        <v>961</v>
      </c>
      <c r="D14" s="8" t="s">
        <v>962</v>
      </c>
      <c r="E14" s="8" t="s">
        <v>963</v>
      </c>
      <c r="F14" s="8" t="s">
        <v>964</v>
      </c>
      <c r="G14" s="8" t="s">
        <v>965</v>
      </c>
    </row>
    <row r="15" customFormat="false" ht="73.5" hidden="false" customHeight="true" outlineLevel="0" collapsed="false">
      <c r="A15" s="8" t="s">
        <v>966</v>
      </c>
      <c r="B15" s="8" t="s">
        <v>967</v>
      </c>
      <c r="C15" s="8" t="s">
        <v>968</v>
      </c>
      <c r="D15" s="8" t="s">
        <v>969</v>
      </c>
      <c r="E15" s="8" t="s">
        <v>970</v>
      </c>
      <c r="F15" s="8" t="s">
        <v>971</v>
      </c>
      <c r="G15" s="8" t="s">
        <v>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3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5" t="s">
        <v>973</v>
      </c>
    </row>
    <row r="2" customFormat="false" ht="43.25" hidden="false" customHeight="false" outlineLevel="0" collapsed="false">
      <c r="A2" s="10" t="s">
        <v>974</v>
      </c>
    </row>
    <row r="4" customFormat="false" ht="15" hidden="false" customHeight="false" outlineLevel="0" collapsed="false">
      <c r="A4" s="4" t="s">
        <v>975</v>
      </c>
    </row>
    <row r="5" customFormat="false" ht="15" hidden="false" customHeight="false" outlineLevel="0" collapsed="false">
      <c r="A5" s="2" t="s">
        <v>976</v>
      </c>
      <c r="B5" s="11" t="n">
        <v>500</v>
      </c>
      <c r="D5" s="10" t="s">
        <v>977</v>
      </c>
    </row>
    <row r="6" customFormat="false" ht="15" hidden="false" customHeight="false" outlineLevel="0" collapsed="false">
      <c r="A6" s="2" t="s">
        <v>978</v>
      </c>
      <c r="B6" s="11" t="n">
        <v>1200</v>
      </c>
      <c r="D6" s="10" t="s">
        <v>979</v>
      </c>
    </row>
    <row r="7" customFormat="false" ht="15" hidden="false" customHeight="false" outlineLevel="0" collapsed="false">
      <c r="A7" s="2" t="s">
        <v>980</v>
      </c>
      <c r="B7" s="11" t="n">
        <v>6</v>
      </c>
      <c r="D7" s="10" t="s">
        <v>981</v>
      </c>
    </row>
    <row r="8" customFormat="false" ht="15" hidden="false" customHeight="false" outlineLevel="0" collapsed="false">
      <c r="A8" s="2" t="s">
        <v>982</v>
      </c>
      <c r="B8" s="11" t="n">
        <v>2</v>
      </c>
      <c r="D8" s="10" t="s">
        <v>983</v>
      </c>
    </row>
    <row r="9" customFormat="false" ht="15" hidden="false" customHeight="false" outlineLevel="0" collapsed="false">
      <c r="A9" s="2" t="s">
        <v>984</v>
      </c>
      <c r="B9" s="11" t="n">
        <v>6</v>
      </c>
      <c r="D9" s="10" t="s">
        <v>985</v>
      </c>
    </row>
    <row r="10" customFormat="false" ht="15" hidden="false" customHeight="false" outlineLevel="0" collapsed="false">
      <c r="A10" s="2" t="s">
        <v>986</v>
      </c>
      <c r="B10" s="11" t="n">
        <v>130</v>
      </c>
      <c r="D10" s="10" t="s">
        <v>987</v>
      </c>
    </row>
    <row r="11" customFormat="false" ht="15" hidden="false" customHeight="false" outlineLevel="0" collapsed="false">
      <c r="A11" s="2" t="s">
        <v>988</v>
      </c>
      <c r="B11" s="12" t="n">
        <v>2.5</v>
      </c>
      <c r="D11" s="10" t="s">
        <v>989</v>
      </c>
    </row>
    <row r="13" customFormat="false" ht="15" hidden="false" customHeight="false" outlineLevel="0" collapsed="false">
      <c r="A13" s="4" t="s">
        <v>990</v>
      </c>
    </row>
    <row r="14" customFormat="false" ht="15" hidden="false" customHeight="false" outlineLevel="0" collapsed="false">
      <c r="A14" s="2" t="s">
        <v>991</v>
      </c>
      <c r="B14" s="12" t="n">
        <v>12</v>
      </c>
    </row>
    <row r="15" customFormat="false" ht="15" hidden="false" customHeight="false" outlineLevel="0" collapsed="false">
      <c r="A15" s="2" t="s">
        <v>992</v>
      </c>
      <c r="B15" s="11" t="n">
        <v>50000</v>
      </c>
    </row>
    <row r="16" customFormat="false" ht="15" hidden="false" customHeight="false" outlineLevel="0" collapsed="false">
      <c r="A16" s="2" t="s">
        <v>993</v>
      </c>
      <c r="B16" s="11" t="n">
        <v>10000</v>
      </c>
    </row>
    <row r="17" customFormat="false" ht="15" hidden="false" customHeight="false" outlineLevel="0" collapsed="false">
      <c r="A17" s="2" t="s">
        <v>994</v>
      </c>
      <c r="B17" s="11" t="n">
        <v>10000</v>
      </c>
    </row>
    <row r="19" customFormat="false" ht="15" hidden="false" customHeight="false" outlineLevel="0" collapsed="false">
      <c r="A19" s="4" t="s">
        <v>995</v>
      </c>
    </row>
    <row r="20" customFormat="false" ht="15" hidden="false" customHeight="false" outlineLevel="0" collapsed="false">
      <c r="A20" s="2" t="s">
        <v>996</v>
      </c>
      <c r="B20" s="13" t="n">
        <f aca="false">B6*10000/100</f>
        <v>120000</v>
      </c>
    </row>
    <row r="21" customFormat="false" ht="15" hidden="false" customHeight="false" outlineLevel="0" collapsed="false">
      <c r="A21" s="2" t="s">
        <v>997</v>
      </c>
      <c r="B21" s="13" t="n">
        <f aca="false">B20*B7*B8</f>
        <v>1440000</v>
      </c>
    </row>
    <row r="22" customFormat="false" ht="15" hidden="false" customHeight="false" outlineLevel="0" collapsed="false">
      <c r="A22" s="2" t="s">
        <v>998</v>
      </c>
      <c r="B22" s="14" t="n">
        <f aca="false">B21*B9*B5/1024/1024/1024</f>
        <v>4.02331352233887</v>
      </c>
    </row>
    <row r="23" customFormat="false" ht="15" hidden="false" customHeight="false" outlineLevel="0" collapsed="false">
      <c r="A23" s="2" t="s">
        <v>999</v>
      </c>
      <c r="B23" s="14" t="n">
        <f aca="false">IF(B11=0,B22,B22/B11)</f>
        <v>1.60932540893555</v>
      </c>
    </row>
    <row r="24" customFormat="false" ht="15" hidden="false" customHeight="false" outlineLevel="0" collapsed="false">
      <c r="A24" s="2" t="s">
        <v>1000</v>
      </c>
      <c r="B24" s="15" t="n">
        <f aca="false">B23/1024</f>
        <v>0.00157160684466362</v>
      </c>
    </row>
    <row r="25" customFormat="false" ht="15" hidden="false" customHeight="false" outlineLevel="0" collapsed="false">
      <c r="A25" s="2" t="s">
        <v>1001</v>
      </c>
      <c r="B25" s="16" t="n">
        <f aca="false">IFERROR(B24/B14,0)</f>
        <v>0.000130967237055302</v>
      </c>
    </row>
    <row r="26" customFormat="false" ht="15" hidden="false" customHeight="false" outlineLevel="0" collapsed="false">
      <c r="A26" s="2" t="s">
        <v>1002</v>
      </c>
      <c r="B26" s="17" t="n">
        <f aca="false">B24*B10</f>
        <v>0.204308889806271</v>
      </c>
    </row>
    <row r="27" customFormat="false" ht="15" hidden="false" customHeight="false" outlineLevel="0" collapsed="false">
      <c r="A27" s="2" t="s">
        <v>1003</v>
      </c>
      <c r="B27" s="17" t="n">
        <f aca="false">IFERROR(B26/B14,0)</f>
        <v>0.0170257408171892</v>
      </c>
    </row>
    <row r="28" customFormat="false" ht="15" hidden="false" customHeight="false" outlineLevel="0" collapsed="false">
      <c r="A28" s="2" t="s">
        <v>1004</v>
      </c>
      <c r="B28" s="17" t="n">
        <f aca="false">B26</f>
        <v>0.204308889806271</v>
      </c>
    </row>
    <row r="29" customFormat="false" ht="22.35" hidden="false" customHeight="false" outlineLevel="0" collapsed="false">
      <c r="A29" s="2" t="s">
        <v>1005</v>
      </c>
      <c r="B29" s="11" t="n">
        <v>150</v>
      </c>
      <c r="D29" s="10" t="s">
        <v>1006</v>
      </c>
    </row>
    <row r="30" customFormat="false" ht="15" hidden="false" customHeight="false" outlineLevel="0" collapsed="false">
      <c r="A30" s="2" t="s">
        <v>1007</v>
      </c>
      <c r="B30" s="14" t="n">
        <f aca="false">B29*B9*1/1024</f>
        <v>0.87890625</v>
      </c>
      <c r="D30" s="10" t="s">
        <v>1008</v>
      </c>
    </row>
    <row r="32" customFormat="false" ht="15" hidden="false" customHeight="false" outlineLevel="0" collapsed="false">
      <c r="A32" s="4" t="s">
        <v>1009</v>
      </c>
    </row>
    <row r="33" customFormat="false" ht="15" hidden="false" customHeight="false" outlineLevel="0" collapsed="false">
      <c r="A33" s="2" t="s">
        <v>1010</v>
      </c>
      <c r="B33" s="18" t="n">
        <v>0</v>
      </c>
      <c r="D33" s="6" t="s">
        <v>1011</v>
      </c>
    </row>
    <row r="34" customFormat="false" ht="15" hidden="false" customHeight="false" outlineLevel="0" collapsed="false">
      <c r="A34" s="2" t="s">
        <v>1012</v>
      </c>
      <c r="B34" s="18" t="n">
        <v>0</v>
      </c>
      <c r="D34" s="6" t="s">
        <v>1013</v>
      </c>
    </row>
    <row r="35" customFormat="false" ht="15" hidden="false" customHeight="false" outlineLevel="0" collapsed="false">
      <c r="A35" s="2" t="s">
        <v>1014</v>
      </c>
      <c r="B35" s="19" t="n">
        <v>18</v>
      </c>
    </row>
    <row r="36" customFormat="false" ht="15" hidden="false" customHeight="false" outlineLevel="0" collapsed="false">
      <c r="A36" s="2" t="s">
        <v>1015</v>
      </c>
      <c r="B36" s="18" t="n">
        <f aca="false">B28*B35*12</f>
        <v>44.1307201981545</v>
      </c>
    </row>
    <row r="37" customFormat="false" ht="15" hidden="false" customHeight="false" outlineLevel="0" collapsed="false">
      <c r="A37" s="2" t="s">
        <v>1016</v>
      </c>
      <c r="B37" s="20" t="n">
        <v>0.4</v>
      </c>
    </row>
    <row r="38" customFormat="false" ht="15" hidden="false" customHeight="false" outlineLevel="0" collapsed="false">
      <c r="A38" s="2" t="s">
        <v>1017</v>
      </c>
      <c r="B38" s="18" t="n">
        <f aca="false">B5*B37*12</f>
        <v>2400</v>
      </c>
    </row>
    <row r="39" customFormat="false" ht="15" hidden="false" customHeight="false" outlineLevel="0" collapsed="false">
      <c r="A39" s="2" t="s">
        <v>1018</v>
      </c>
      <c r="B39" s="18" t="n">
        <f aca="false">B36+B38</f>
        <v>2444.13072019815</v>
      </c>
    </row>
    <row r="41" customFormat="false" ht="15" hidden="false" customHeight="false" outlineLevel="0" collapsed="false">
      <c r="A41" s="4" t="s">
        <v>1019</v>
      </c>
    </row>
    <row r="42" customFormat="false" ht="15" hidden="false" customHeight="false" outlineLevel="0" collapsed="false">
      <c r="A42" s="2" t="s">
        <v>1020</v>
      </c>
      <c r="B42" s="12" t="n">
        <v>2</v>
      </c>
    </row>
    <row r="43" customFormat="false" ht="15" hidden="false" customHeight="false" outlineLevel="0" collapsed="false">
      <c r="A43" s="2" t="s">
        <v>1021</v>
      </c>
      <c r="B43" s="12" t="n">
        <v>1</v>
      </c>
    </row>
    <row r="44" customFormat="false" ht="15" hidden="false" customHeight="false" outlineLevel="0" collapsed="false">
      <c r="A44" s="2" t="s">
        <v>1022</v>
      </c>
      <c r="B44" s="19" t="n">
        <v>60000</v>
      </c>
    </row>
    <row r="45" customFormat="false" ht="15" hidden="false" customHeight="false" outlineLevel="0" collapsed="false">
      <c r="A45" s="2" t="s">
        <v>1023</v>
      </c>
      <c r="B45" s="18" t="n">
        <f aca="false">(B42+B43)*B44</f>
        <v>180000</v>
      </c>
    </row>
    <row r="46" customFormat="false" ht="15" hidden="false" customHeight="false" outlineLevel="0" collapsed="false">
      <c r="A46" s="2" t="s">
        <v>1024</v>
      </c>
      <c r="B46" s="21" t="n">
        <f aca="false">B39+B45</f>
        <v>182444.130720198</v>
      </c>
    </row>
    <row r="47" customFormat="false" ht="15" hidden="false" customHeight="false" outlineLevel="0" collapsed="false">
      <c r="A47" s="2" t="s">
        <v>1025</v>
      </c>
      <c r="B47" s="18" t="n">
        <f aca="false">IFERROR(B46/B5,0)</f>
        <v>364.888261440396</v>
      </c>
    </row>
    <row r="48" customFormat="false" ht="15" hidden="false" customHeight="false" outlineLevel="0" collapsed="false">
      <c r="A48" s="2" t="s">
        <v>1026</v>
      </c>
      <c r="B48" s="13" t="n">
        <f aca="false">IFERROR(B5/(B42+B43),0)</f>
        <v>166.666666666667</v>
      </c>
    </row>
    <row r="50" customFormat="false" ht="15" hidden="false" customHeight="false" outlineLevel="0" collapsed="false">
      <c r="A50" s="4" t="s">
        <v>1027</v>
      </c>
    </row>
    <row r="51" customFormat="false" ht="15" hidden="false" customHeight="true" outlineLevel="0" collapsed="false">
      <c r="A51" s="22" t="s">
        <v>1028</v>
      </c>
      <c r="B51" s="22"/>
      <c r="C51" s="22"/>
      <c r="D51" s="22"/>
    </row>
    <row r="52" customFormat="false" ht="15" hidden="false" customHeight="false" outlineLevel="0" collapsed="false">
      <c r="A52" s="22"/>
      <c r="B52" s="22"/>
      <c r="C52" s="22"/>
      <c r="D52" s="22"/>
    </row>
    <row r="53" customFormat="false" ht="15" hidden="false" customHeight="false" outlineLevel="0" collapsed="false">
      <c r="A53" s="22"/>
      <c r="B53" s="22"/>
      <c r="C53" s="22"/>
      <c r="D53" s="22"/>
    </row>
  </sheetData>
  <mergeCells count="1">
    <mergeCell ref="A51: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2026-08-22T12:46:48Z</dcterms:created>
  <dc:creator>openpyxl</dc:creator>
  <dc:description/>
  <dc:language>en-US</dc:language>
  <cp:lastModifiedBy/>
  <dcterms:modified xsi:type="dcterms:W3CDTF">2026-08-22T12:46:48Z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